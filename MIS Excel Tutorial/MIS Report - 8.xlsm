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lu\Downloads\"/>
    </mc:Choice>
  </mc:AlternateContent>
  <bookViews>
    <workbookView xWindow="0" yWindow="0" windowWidth="20400" windowHeight="7755"/>
  </bookViews>
  <sheets>
    <sheet name="Form" sheetId="2" r:id="rId1"/>
    <sheet name="Date wise" sheetId="8" r:id="rId2"/>
    <sheet name="item wise" sheetId="9" r:id="rId3"/>
    <sheet name="salesman" sheetId="10" r:id="rId4"/>
    <sheet name="Total" sheetId="11" r:id="rId5"/>
    <sheet name="Backup" sheetId="1" r:id="rId6"/>
  </sheets>
  <calcPr calcId="152511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2" l="1"/>
  <c r="H26" i="2"/>
  <c r="F26" i="2"/>
  <c r="E26" i="2"/>
  <c r="C26" i="2"/>
  <c r="G38" i="1"/>
  <c r="I38" i="1" s="1"/>
  <c r="G37" i="1"/>
  <c r="G36" i="1"/>
  <c r="I36" i="1" s="1"/>
  <c r="G35" i="1"/>
  <c r="I35" i="1" s="1"/>
  <c r="G34" i="1"/>
  <c r="I34" i="1" s="1"/>
  <c r="G33" i="1"/>
  <c r="G32" i="1"/>
  <c r="I32" i="1" s="1"/>
  <c r="I31" i="1"/>
  <c r="G31" i="1"/>
  <c r="G30" i="1"/>
  <c r="I30" i="1" s="1"/>
  <c r="G29" i="1"/>
  <c r="G28" i="1"/>
  <c r="I28" i="1" s="1"/>
  <c r="G27" i="1"/>
  <c r="I27" i="1" s="1"/>
  <c r="G26" i="1"/>
  <c r="I26" i="1" s="1"/>
  <c r="G25" i="1"/>
  <c r="G24" i="1"/>
  <c r="I24" i="1" s="1"/>
  <c r="I23" i="1"/>
  <c r="G23" i="1"/>
  <c r="G22" i="1"/>
  <c r="I22" i="1" s="1"/>
  <c r="G21" i="1"/>
  <c r="G20" i="1"/>
  <c r="I20" i="1" s="1"/>
  <c r="G19" i="1"/>
  <c r="I19" i="1" s="1"/>
  <c r="G18" i="1"/>
  <c r="I18" i="1" s="1"/>
  <c r="G17" i="1"/>
  <c r="G16" i="1"/>
  <c r="I16" i="1" s="1"/>
  <c r="I15" i="1"/>
  <c r="G15" i="1"/>
  <c r="G14" i="1"/>
  <c r="I14" i="1" s="1"/>
  <c r="G13" i="1"/>
  <c r="G12" i="1"/>
  <c r="I12" i="1" s="1"/>
  <c r="G11" i="1"/>
  <c r="I11" i="1" s="1"/>
  <c r="G10" i="1"/>
  <c r="I10" i="1" s="1"/>
  <c r="G9" i="1"/>
  <c r="G8" i="1"/>
  <c r="I8" i="1" s="1"/>
  <c r="I7" i="1"/>
  <c r="G7" i="1"/>
  <c r="J6" i="1"/>
  <c r="I6" i="1"/>
  <c r="J7" i="1" l="1"/>
  <c r="I9" i="1"/>
  <c r="J9" i="1" s="1"/>
  <c r="J11" i="1"/>
  <c r="I13" i="1"/>
  <c r="J13" i="1" s="1"/>
  <c r="J15" i="1"/>
  <c r="I17" i="1"/>
  <c r="J17" i="1" s="1"/>
  <c r="J19" i="1"/>
  <c r="I21" i="1"/>
  <c r="J21" i="1" s="1"/>
  <c r="J23" i="1"/>
  <c r="I25" i="1"/>
  <c r="J25" i="1" s="1"/>
  <c r="J27" i="1"/>
  <c r="I29" i="1"/>
  <c r="J29" i="1" s="1"/>
  <c r="J31" i="1"/>
  <c r="I33" i="1"/>
  <c r="J33" i="1" s="1"/>
  <c r="J35" i="1"/>
  <c r="I37" i="1"/>
  <c r="J37" i="1" s="1"/>
  <c r="J8" i="1"/>
  <c r="J10" i="1"/>
  <c r="J12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F12" i="2"/>
  <c r="F10" i="2"/>
  <c r="H6" i="2"/>
  <c r="D26" i="2" s="1"/>
  <c r="D4" i="2"/>
  <c r="B26" i="2" s="1"/>
  <c r="D12" i="2"/>
  <c r="G26" i="2" s="1"/>
  <c r="H4" i="2" l="1"/>
  <c r="A26" i="2" s="1"/>
  <c r="H10" i="2"/>
  <c r="H12" i="2"/>
  <c r="I26" i="2" l="1"/>
  <c r="H14" i="2"/>
  <c r="J26" i="2" s="1"/>
</calcChain>
</file>

<file path=xl/sharedStrings.xml><?xml version="1.0" encoding="utf-8"?>
<sst xmlns="http://schemas.openxmlformats.org/spreadsheetml/2006/main" count="276" uniqueCount="87">
  <si>
    <t>:</t>
  </si>
  <si>
    <t>Student Detail</t>
  </si>
  <si>
    <t>Naresh</t>
  </si>
  <si>
    <t>Date</t>
  </si>
  <si>
    <t>Item</t>
  </si>
  <si>
    <t>Item code</t>
  </si>
  <si>
    <t>Price</t>
  </si>
  <si>
    <t>Qty</t>
  </si>
  <si>
    <t>Total</t>
  </si>
  <si>
    <t>Sales Man</t>
  </si>
  <si>
    <t>Invoice No</t>
  </si>
  <si>
    <t>Laptop</t>
  </si>
  <si>
    <t>Item Code</t>
  </si>
  <si>
    <t>GST</t>
  </si>
  <si>
    <t>Amount</t>
  </si>
  <si>
    <t>IGST</t>
  </si>
  <si>
    <t>Select</t>
  </si>
  <si>
    <t>GST Type</t>
  </si>
  <si>
    <t>SGST/CGST</t>
  </si>
  <si>
    <t>CD</t>
  </si>
  <si>
    <t>DVD</t>
  </si>
  <si>
    <t>Manoj</t>
  </si>
  <si>
    <t>cd</t>
  </si>
  <si>
    <t>cd0662man-100</t>
  </si>
  <si>
    <t>cd0662man</t>
  </si>
  <si>
    <t>cd0662har-100</t>
  </si>
  <si>
    <t>Hari</t>
  </si>
  <si>
    <t>RAM</t>
  </si>
  <si>
    <t>cd0662man-102</t>
  </si>
  <si>
    <t>cd0662man-103</t>
  </si>
  <si>
    <t>cd0662man-104</t>
  </si>
  <si>
    <t>cd0662man-108</t>
  </si>
  <si>
    <t>DVD0662man-101</t>
  </si>
  <si>
    <t>RAM0662man-105</t>
  </si>
  <si>
    <t>Lap0662man-106</t>
  </si>
  <si>
    <t>Pri0662man-107</t>
  </si>
  <si>
    <t>LAP</t>
  </si>
  <si>
    <t>PRI</t>
  </si>
  <si>
    <t>MON</t>
  </si>
  <si>
    <t>DVD0662man</t>
  </si>
  <si>
    <t>RAM0662man</t>
  </si>
  <si>
    <t>Lap0662man</t>
  </si>
  <si>
    <t>Pri0662man</t>
  </si>
  <si>
    <t>Mon0662man</t>
  </si>
  <si>
    <t>Mon0662har-109</t>
  </si>
  <si>
    <t>DVD0662har-110</t>
  </si>
  <si>
    <t>RAM0662har-111</t>
  </si>
  <si>
    <t>DVD0662har-101</t>
  </si>
  <si>
    <t>cd0662har-102</t>
  </si>
  <si>
    <t>cd0662har-103</t>
  </si>
  <si>
    <t>cd0662har-104</t>
  </si>
  <si>
    <t>RAM0662har-105</t>
  </si>
  <si>
    <t>Lap0662Nar-106</t>
  </si>
  <si>
    <t>Pri0662Nar-107</t>
  </si>
  <si>
    <t>cd0662Nar-108</t>
  </si>
  <si>
    <t>Mon0662Nar-109</t>
  </si>
  <si>
    <t>DVD0662Nar-110</t>
  </si>
  <si>
    <t>RAM0662Nar-111</t>
  </si>
  <si>
    <t>cd0662Gopal-100</t>
  </si>
  <si>
    <t>DVD0662Gopal-101</t>
  </si>
  <si>
    <t>cd0662Gopal-102</t>
  </si>
  <si>
    <t>cd0662Gopal-103</t>
  </si>
  <si>
    <t>cd0662Gopal-104</t>
  </si>
  <si>
    <t>RAM0662Gopal-105</t>
  </si>
  <si>
    <t>Lap0662Gopal-106</t>
  </si>
  <si>
    <t>Pri0662Gopal-107</t>
  </si>
  <si>
    <t>cd0662Gopal-108</t>
  </si>
  <si>
    <t>Gopali</t>
  </si>
  <si>
    <t>Sale/Purchase Report</t>
  </si>
  <si>
    <t>Ram</t>
  </si>
  <si>
    <t>Ram0662Man-100</t>
  </si>
  <si>
    <t>Ram0662Man</t>
  </si>
  <si>
    <t>Printer</t>
  </si>
  <si>
    <t>Pri0662Har-100</t>
  </si>
  <si>
    <t>Pri0662Har</t>
  </si>
  <si>
    <t>Lap0662Man-100</t>
  </si>
  <si>
    <t>Lap0662Man</t>
  </si>
  <si>
    <t>Row Labels</t>
  </si>
  <si>
    <t>Grand Total</t>
  </si>
  <si>
    <t>Sum of Amount</t>
  </si>
  <si>
    <t>Sum of Total</t>
  </si>
  <si>
    <t>Sum of GST</t>
  </si>
  <si>
    <t>Pri0662Gop-101</t>
  </si>
  <si>
    <t>Pri0662Gop</t>
  </si>
  <si>
    <t>Pen Drive</t>
  </si>
  <si>
    <t>Pen0662Man-102</t>
  </si>
  <si>
    <t>Pen0662Man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</si>
</sst>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0" fontId="1" fillId="0" borderId="0" xfId="0" applyFont="1" applyAlignment="1"/>
    <xf numFmtId="0" fontId="1" fillId="0" borderId="0" xfId="0" applyFont="1" applyProtection="1"/>
    <xf numFmtId="0" fontId="0" fillId="0" borderId="0" xfId="0" applyProtection="1"/>
    <xf numFmtId="0" fontId="2" fillId="0" borderId="0" xfId="0" applyFont="1" applyProtection="1"/>
    <xf numFmtId="0" fontId="1" fillId="0" borderId="1" xfId="0" applyFont="1" applyBorder="1" applyAlignment="1" applyProtection="1">
      <alignment horizontal="left"/>
    </xf>
    <xf numFmtId="164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4" fillId="0" borderId="0" xfId="0" applyFont="1" applyProtection="1"/>
    <xf numFmtId="0" fontId="1" fillId="4" borderId="1" xfId="0" applyFont="1" applyFill="1" applyBorder="1" applyProtection="1"/>
    <xf numFmtId="0" fontId="5" fillId="0" borderId="0" xfId="0" applyFont="1" applyProtection="1"/>
    <xf numFmtId="9" fontId="1" fillId="0" borderId="1" xfId="0" applyNumberFormat="1" applyFont="1" applyBorder="1" applyAlignment="1" applyProtection="1">
      <alignment horizontal="center"/>
    </xf>
    <xf numFmtId="0" fontId="2" fillId="0" borderId="3" xfId="0" applyFont="1" applyBorder="1" applyAlignment="1">
      <alignment horizontal="center"/>
    </xf>
    <xf numFmtId="164" fontId="0" fillId="0" borderId="0" xfId="0" applyNumberFormat="1" applyProtection="1"/>
    <xf numFmtId="0" fontId="6" fillId="5" borderId="1" xfId="0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0" fillId="0" borderId="0" xfId="0" applyNumberFormat="1" applyProtection="1"/>
    <xf numFmtId="0" fontId="1" fillId="0" borderId="1" xfId="0" pivotButton="1" applyFont="1" applyBorder="1"/>
    <xf numFmtId="0" fontId="1" fillId="0" borderId="1" xfId="0" applyFont="1" applyBorder="1"/>
    <xf numFmtId="14" fontId="1" fillId="0" borderId="1" xfId="0" applyNumberFormat="1" applyFont="1" applyBorder="1" applyAlignment="1">
      <alignment horizontal="left"/>
    </xf>
    <xf numFmtId="0" fontId="1" fillId="0" borderId="1" xfId="0" applyNumberFormat="1" applyFont="1" applyBorder="1"/>
    <xf numFmtId="0" fontId="1" fillId="0" borderId="1" xfId="0" applyFont="1" applyBorder="1" applyAlignment="1">
      <alignment horizontal="left"/>
    </xf>
    <xf numFmtId="14" fontId="1" fillId="0" borderId="1" xfId="0" applyNumberFormat="1" applyFont="1" applyBorder="1" applyAlignment="1">
      <alignment horizontal="left" indent="1"/>
    </xf>
    <xf numFmtId="0" fontId="2" fillId="2" borderId="0" xfId="0" applyFont="1" applyFill="1" applyAlignment="1" applyProtection="1">
      <alignment horizontal="center"/>
    </xf>
    <xf numFmtId="0" fontId="3" fillId="3" borderId="2" xfId="0" applyFont="1" applyFill="1" applyBorder="1" applyAlignment="1">
      <alignment horizontal="center"/>
    </xf>
  </cellXfs>
  <cellStyles count="1">
    <cellStyle name="Normal" xfId="0" builtinId="0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3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Report - 8.xlsm]Date wise!PivotTable1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'Date wise'!$B$3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'Date wise'!$A$4:$A$18</c:f>
              <c:strCache>
                <c:ptCount val="14"/>
                <c:pt idx="0">
                  <c:v>04-05-21</c:v>
                </c:pt>
                <c:pt idx="1">
                  <c:v>07-05-21</c:v>
                </c:pt>
                <c:pt idx="2">
                  <c:v>08-05-21</c:v>
                </c:pt>
                <c:pt idx="3">
                  <c:v>09-05-21</c:v>
                </c:pt>
                <c:pt idx="4">
                  <c:v>10-05-21</c:v>
                </c:pt>
                <c:pt idx="5">
                  <c:v>11-05-21</c:v>
                </c:pt>
                <c:pt idx="6">
                  <c:v>13-05-21</c:v>
                </c:pt>
                <c:pt idx="7">
                  <c:v>16-05-21</c:v>
                </c:pt>
                <c:pt idx="8">
                  <c:v>17-05-21</c:v>
                </c:pt>
                <c:pt idx="9">
                  <c:v>20-05-21</c:v>
                </c:pt>
                <c:pt idx="10">
                  <c:v>21-05-21</c:v>
                </c:pt>
                <c:pt idx="11">
                  <c:v>23-05-21</c:v>
                </c:pt>
                <c:pt idx="12">
                  <c:v>24-05-21</c:v>
                </c:pt>
                <c:pt idx="13">
                  <c:v>22-07-22</c:v>
                </c:pt>
              </c:strCache>
            </c:strRef>
          </c:cat>
          <c:val>
            <c:numRef>
              <c:f>'Date wise'!$B$4:$B$18</c:f>
              <c:numCache>
                <c:formatCode>General</c:formatCode>
                <c:ptCount val="14"/>
                <c:pt idx="0">
                  <c:v>472</c:v>
                </c:pt>
                <c:pt idx="1">
                  <c:v>295</c:v>
                </c:pt>
                <c:pt idx="2">
                  <c:v>1770</c:v>
                </c:pt>
                <c:pt idx="3">
                  <c:v>1180</c:v>
                </c:pt>
                <c:pt idx="4">
                  <c:v>35400</c:v>
                </c:pt>
                <c:pt idx="5">
                  <c:v>98972.5</c:v>
                </c:pt>
                <c:pt idx="6">
                  <c:v>2655</c:v>
                </c:pt>
                <c:pt idx="7">
                  <c:v>354</c:v>
                </c:pt>
                <c:pt idx="8">
                  <c:v>81449.5</c:v>
                </c:pt>
                <c:pt idx="9">
                  <c:v>16549.5</c:v>
                </c:pt>
                <c:pt idx="10">
                  <c:v>2065</c:v>
                </c:pt>
                <c:pt idx="11">
                  <c:v>86081</c:v>
                </c:pt>
                <c:pt idx="12">
                  <c:v>472</c:v>
                </c:pt>
                <c:pt idx="13">
                  <c:v>71508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Report - 8.xlsm]item wise!PivotTable2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'item wise'!$B$3</c:f>
              <c:strCache>
                <c:ptCount val="1"/>
                <c:pt idx="0">
                  <c:v>Sum of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'item wise'!$A$4:$A$13</c:f>
              <c:strCache>
                <c:ptCount val="9"/>
                <c:pt idx="0">
                  <c:v>MON</c:v>
                </c:pt>
                <c:pt idx="1">
                  <c:v>cd</c:v>
                </c:pt>
                <c:pt idx="2">
                  <c:v>DVD</c:v>
                </c:pt>
                <c:pt idx="3">
                  <c:v>LAP</c:v>
                </c:pt>
                <c:pt idx="4">
                  <c:v>Laptop</c:v>
                </c:pt>
                <c:pt idx="5">
                  <c:v>PRI</c:v>
                </c:pt>
                <c:pt idx="6">
                  <c:v>Printer</c:v>
                </c:pt>
                <c:pt idx="7">
                  <c:v>Ram</c:v>
                </c:pt>
                <c:pt idx="8">
                  <c:v>Pen Drive</c:v>
                </c:pt>
              </c:strCache>
            </c:strRef>
          </c:cat>
          <c:val>
            <c:numRef>
              <c:f>'item wise'!$B$4:$B$13</c:f>
              <c:numCache>
                <c:formatCode>General</c:formatCode>
                <c:ptCount val="9"/>
                <c:pt idx="0">
                  <c:v>20200</c:v>
                </c:pt>
                <c:pt idx="1">
                  <c:v>4700</c:v>
                </c:pt>
                <c:pt idx="2">
                  <c:v>2875</c:v>
                </c:pt>
                <c:pt idx="3">
                  <c:v>99100</c:v>
                </c:pt>
                <c:pt idx="4">
                  <c:v>35000</c:v>
                </c:pt>
                <c:pt idx="5">
                  <c:v>142000</c:v>
                </c:pt>
                <c:pt idx="6">
                  <c:v>24000</c:v>
                </c:pt>
                <c:pt idx="7">
                  <c:v>9950</c:v>
                </c:pt>
                <c:pt idx="8">
                  <c:v>500</c:v>
                </c:pt>
              </c:numCache>
            </c:numRef>
          </c:val>
        </c:ser>
        <c:ser>
          <c:idx val="1"/>
          <c:order val="1"/>
          <c:tx>
            <c:strRef>
              <c:f>'item wise'!$C$3</c:f>
              <c:strCache>
                <c:ptCount val="1"/>
                <c:pt idx="0">
                  <c:v>Sum of GST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'item wise'!$A$4:$A$13</c:f>
              <c:strCache>
                <c:ptCount val="9"/>
                <c:pt idx="0">
                  <c:v>MON</c:v>
                </c:pt>
                <c:pt idx="1">
                  <c:v>cd</c:v>
                </c:pt>
                <c:pt idx="2">
                  <c:v>DVD</c:v>
                </c:pt>
                <c:pt idx="3">
                  <c:v>LAP</c:v>
                </c:pt>
                <c:pt idx="4">
                  <c:v>Laptop</c:v>
                </c:pt>
                <c:pt idx="5">
                  <c:v>PRI</c:v>
                </c:pt>
                <c:pt idx="6">
                  <c:v>Printer</c:v>
                </c:pt>
                <c:pt idx="7">
                  <c:v>Ram</c:v>
                </c:pt>
                <c:pt idx="8">
                  <c:v>Pen Drive</c:v>
                </c:pt>
              </c:strCache>
            </c:strRef>
          </c:cat>
          <c:val>
            <c:numRef>
              <c:f>'item wise'!$C$4:$C$13</c:f>
              <c:numCache>
                <c:formatCode>General</c:formatCode>
                <c:ptCount val="9"/>
                <c:pt idx="0">
                  <c:v>3636</c:v>
                </c:pt>
                <c:pt idx="1">
                  <c:v>846</c:v>
                </c:pt>
                <c:pt idx="2">
                  <c:v>517.5</c:v>
                </c:pt>
                <c:pt idx="3">
                  <c:v>17838</c:v>
                </c:pt>
                <c:pt idx="4">
                  <c:v>6300</c:v>
                </c:pt>
                <c:pt idx="5">
                  <c:v>25560</c:v>
                </c:pt>
                <c:pt idx="6">
                  <c:v>4320</c:v>
                </c:pt>
                <c:pt idx="7">
                  <c:v>1791</c:v>
                </c:pt>
                <c:pt idx="8">
                  <c:v>90</c:v>
                </c:pt>
              </c:numCache>
            </c:numRef>
          </c:val>
        </c:ser>
        <c:ser>
          <c:idx val="2"/>
          <c:order val="2"/>
          <c:tx>
            <c:strRef>
              <c:f>'item wise'!$D$3</c:f>
              <c:strCache>
                <c:ptCount val="1"/>
                <c:pt idx="0">
                  <c:v>Sum of Amount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'item wise'!$A$4:$A$13</c:f>
              <c:strCache>
                <c:ptCount val="9"/>
                <c:pt idx="0">
                  <c:v>MON</c:v>
                </c:pt>
                <c:pt idx="1">
                  <c:v>cd</c:v>
                </c:pt>
                <c:pt idx="2">
                  <c:v>DVD</c:v>
                </c:pt>
                <c:pt idx="3">
                  <c:v>LAP</c:v>
                </c:pt>
                <c:pt idx="4">
                  <c:v>Laptop</c:v>
                </c:pt>
                <c:pt idx="5">
                  <c:v>PRI</c:v>
                </c:pt>
                <c:pt idx="6">
                  <c:v>Printer</c:v>
                </c:pt>
                <c:pt idx="7">
                  <c:v>Ram</c:v>
                </c:pt>
                <c:pt idx="8">
                  <c:v>Pen Drive</c:v>
                </c:pt>
              </c:strCache>
            </c:strRef>
          </c:cat>
          <c:val>
            <c:numRef>
              <c:f>'item wise'!$D$4:$D$13</c:f>
              <c:numCache>
                <c:formatCode>General</c:formatCode>
                <c:ptCount val="9"/>
                <c:pt idx="0">
                  <c:v>23836</c:v>
                </c:pt>
                <c:pt idx="1">
                  <c:v>5546</c:v>
                </c:pt>
                <c:pt idx="2">
                  <c:v>3392.5</c:v>
                </c:pt>
                <c:pt idx="3">
                  <c:v>116938</c:v>
                </c:pt>
                <c:pt idx="4">
                  <c:v>41300</c:v>
                </c:pt>
                <c:pt idx="5">
                  <c:v>167560</c:v>
                </c:pt>
                <c:pt idx="6">
                  <c:v>28320</c:v>
                </c:pt>
                <c:pt idx="7">
                  <c:v>11741</c:v>
                </c:pt>
                <c:pt idx="8">
                  <c:v>590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803344"/>
        <c:axId val="157219192"/>
      </c:barChart>
      <c:catAx>
        <c:axId val="21680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9192"/>
        <c:crosses val="autoZero"/>
        <c:auto val="1"/>
        <c:lblAlgn val="ctr"/>
        <c:lblOffset val="100"/>
        <c:noMultiLvlLbl val="0"/>
      </c:catAx>
      <c:valAx>
        <c:axId val="15721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80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Report - 8.xlsm]salesman!PivotTable3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salesman!$B$3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salesman!$A$4:$A$8</c:f>
              <c:strCache>
                <c:ptCount val="4"/>
                <c:pt idx="0">
                  <c:v>Gopali</c:v>
                </c:pt>
                <c:pt idx="1">
                  <c:v>Hari</c:v>
                </c:pt>
                <c:pt idx="2">
                  <c:v>Manoj</c:v>
                </c:pt>
                <c:pt idx="3">
                  <c:v>Naresh</c:v>
                </c:pt>
              </c:strCache>
            </c:strRef>
          </c:cat>
          <c:val>
            <c:numRef>
              <c:f>salesman!$B$4:$B$8</c:f>
              <c:numCache>
                <c:formatCode>General</c:formatCode>
                <c:ptCount val="4"/>
                <c:pt idx="0">
                  <c:v>14809</c:v>
                </c:pt>
                <c:pt idx="1">
                  <c:v>33630</c:v>
                </c:pt>
                <c:pt idx="2">
                  <c:v>170982</c:v>
                </c:pt>
                <c:pt idx="3">
                  <c:v>179802.5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5430672"/>
        <c:axId val="217514808"/>
      </c:barChart>
      <c:catAx>
        <c:axId val="215430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514808"/>
        <c:crosses val="autoZero"/>
        <c:auto val="1"/>
        <c:lblAlgn val="ctr"/>
        <c:lblOffset val="100"/>
        <c:noMultiLvlLbl val="0"/>
      </c:catAx>
      <c:valAx>
        <c:axId val="217514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3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$J$8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alesman!A1"/><Relationship Id="rId2" Type="http://schemas.openxmlformats.org/officeDocument/2006/relationships/hyperlink" Target="#'item wise'!A1"/><Relationship Id="rId1" Type="http://schemas.openxmlformats.org/officeDocument/2006/relationships/hyperlink" Target="#'Date wise'!A1"/><Relationship Id="rId4" Type="http://schemas.openxmlformats.org/officeDocument/2006/relationships/hyperlink" Target="#Total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Form!A1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Form!A1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Form!A1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Form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133349</xdr:colOff>
      <xdr:row>17</xdr:row>
      <xdr:rowOff>209550</xdr:rowOff>
    </xdr:from>
    <xdr:to>
      <xdr:col>3</xdr:col>
      <xdr:colOff>1057274</xdr:colOff>
      <xdr:row>19</xdr:row>
      <xdr:rowOff>76200</xdr:rowOff>
    </xdr:to>
    <xdr:sp macro="[0]!Macro4" textlink="">
      <xdr:nvSpPr>
        <xdr:cNvPr id="4" name="Rounded Rectangle 3"/>
        <xdr:cNvSpPr/>
      </xdr:nvSpPr>
      <xdr:spPr>
        <a:xfrm>
          <a:off x="1314449" y="3429000"/>
          <a:ext cx="1133475" cy="342900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Submit</a:t>
          </a:r>
        </a:p>
      </xdr:txBody>
    </xdr:sp>
    <xdr:clientData/>
  </xdr:twoCellAnchor>
  <xdr:twoCellAnchor>
    <xdr:from>
      <xdr:col>5</xdr:col>
      <xdr:colOff>228600</xdr:colOff>
      <xdr:row>17</xdr:row>
      <xdr:rowOff>200025</xdr:rowOff>
    </xdr:from>
    <xdr:to>
      <xdr:col>7</xdr:col>
      <xdr:colOff>400050</xdr:colOff>
      <xdr:row>19</xdr:row>
      <xdr:rowOff>66675</xdr:rowOff>
    </xdr:to>
    <xdr:sp macro="[0]!Macro1" textlink="">
      <xdr:nvSpPr>
        <xdr:cNvPr id="15" name="Rounded Rectangle 14"/>
        <xdr:cNvSpPr/>
      </xdr:nvSpPr>
      <xdr:spPr>
        <a:xfrm>
          <a:off x="3095625" y="3181350"/>
          <a:ext cx="1304925" cy="342900"/>
        </a:xfrm>
        <a:prstGeom prst="round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Cancel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</xdr:row>
          <xdr:rowOff>38100</xdr:rowOff>
        </xdr:from>
        <xdr:to>
          <xdr:col>7</xdr:col>
          <xdr:colOff>514350</xdr:colOff>
          <xdr:row>8</xdr:row>
          <xdr:rowOff>9525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B3CDE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IGST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7</xdr:row>
          <xdr:rowOff>38100</xdr:rowOff>
        </xdr:from>
        <xdr:to>
          <xdr:col>8</xdr:col>
          <xdr:colOff>9525</xdr:colOff>
          <xdr:row>8</xdr:row>
          <xdr:rowOff>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B3CDE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SGST / CGST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285750</xdr:colOff>
      <xdr:row>2</xdr:row>
      <xdr:rowOff>228600</xdr:rowOff>
    </xdr:from>
    <xdr:to>
      <xdr:col>10</xdr:col>
      <xdr:colOff>466725</xdr:colOff>
      <xdr:row>5</xdr:row>
      <xdr:rowOff>47625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648325" y="704850"/>
          <a:ext cx="1476375" cy="3810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Date Wise</a:t>
          </a:r>
        </a:p>
      </xdr:txBody>
    </xdr:sp>
    <xdr:clientData/>
  </xdr:twoCellAnchor>
  <xdr:twoCellAnchor>
    <xdr:from>
      <xdr:col>8</xdr:col>
      <xdr:colOff>276225</xdr:colOff>
      <xdr:row>6</xdr:row>
      <xdr:rowOff>14287</xdr:rowOff>
    </xdr:from>
    <xdr:to>
      <xdr:col>10</xdr:col>
      <xdr:colOff>457200</xdr:colOff>
      <xdr:row>8</xdr:row>
      <xdr:rowOff>71437</xdr:rowOff>
    </xdr:to>
    <xdr:sp macro="" textlink="">
      <xdr:nvSpPr>
        <xdr:cNvPr id="16" name="Rounded Rectangle 15">
          <a:hlinkClick xmlns:r="http://schemas.openxmlformats.org/officeDocument/2006/relationships" r:id="rId2"/>
        </xdr:cNvPr>
        <xdr:cNvSpPr/>
      </xdr:nvSpPr>
      <xdr:spPr>
        <a:xfrm>
          <a:off x="5638800" y="1290637"/>
          <a:ext cx="1476375" cy="38100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Item Wise</a:t>
          </a:r>
        </a:p>
      </xdr:txBody>
    </xdr:sp>
    <xdr:clientData/>
  </xdr:twoCellAnchor>
  <xdr:twoCellAnchor>
    <xdr:from>
      <xdr:col>8</xdr:col>
      <xdr:colOff>285750</xdr:colOff>
      <xdr:row>9</xdr:row>
      <xdr:rowOff>133349</xdr:rowOff>
    </xdr:from>
    <xdr:to>
      <xdr:col>10</xdr:col>
      <xdr:colOff>466725</xdr:colOff>
      <xdr:row>11</xdr:row>
      <xdr:rowOff>190499</xdr:rowOff>
    </xdr:to>
    <xdr:sp macro="" textlink="">
      <xdr:nvSpPr>
        <xdr:cNvPr id="17" name="Rounded Rectangle 16">
          <a:hlinkClick xmlns:r="http://schemas.openxmlformats.org/officeDocument/2006/relationships" r:id="rId3"/>
        </xdr:cNvPr>
        <xdr:cNvSpPr/>
      </xdr:nvSpPr>
      <xdr:spPr>
        <a:xfrm>
          <a:off x="5648325" y="1819274"/>
          <a:ext cx="1476375" cy="381000"/>
        </a:xfrm>
        <a:prstGeom prst="roundRect">
          <a:avLst/>
        </a:prstGeom>
        <a:solidFill>
          <a:srgbClr val="7030A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Sales Man Wise</a:t>
          </a:r>
        </a:p>
      </xdr:txBody>
    </xdr:sp>
    <xdr:clientData/>
  </xdr:twoCellAnchor>
  <xdr:twoCellAnchor>
    <xdr:from>
      <xdr:col>8</xdr:col>
      <xdr:colOff>285750</xdr:colOff>
      <xdr:row>13</xdr:row>
      <xdr:rowOff>42861</xdr:rowOff>
    </xdr:from>
    <xdr:to>
      <xdr:col>10</xdr:col>
      <xdr:colOff>466725</xdr:colOff>
      <xdr:row>15</xdr:row>
      <xdr:rowOff>100011</xdr:rowOff>
    </xdr:to>
    <xdr:sp macro="" textlink="">
      <xdr:nvSpPr>
        <xdr:cNvPr id="18" name="Rounded Rectangle 17">
          <a:hlinkClick xmlns:r="http://schemas.openxmlformats.org/officeDocument/2006/relationships" r:id="rId4"/>
        </xdr:cNvPr>
        <xdr:cNvSpPr/>
      </xdr:nvSpPr>
      <xdr:spPr>
        <a:xfrm>
          <a:off x="5648325" y="2376486"/>
          <a:ext cx="1476375" cy="38100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Total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514350</xdr:colOff>
      <xdr:row>2</xdr:row>
      <xdr:rowOff>61912</xdr:rowOff>
    </xdr:from>
    <xdr:to>
      <xdr:col>10</xdr:col>
      <xdr:colOff>209550</xdr:colOff>
      <xdr:row>13</xdr:row>
      <xdr:rowOff>185737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0</xdr:row>
      <xdr:rowOff>0</xdr:rowOff>
    </xdr:from>
    <xdr:to>
      <xdr:col>0</xdr:col>
      <xdr:colOff>733425</xdr:colOff>
      <xdr:row>2</xdr:row>
      <xdr:rowOff>28575</xdr:rowOff>
    </xdr:to>
    <xdr:sp macro="" textlink="">
      <xdr:nvSpPr>
        <xdr:cNvPr id="3" name="Left Arrow 2">
          <a:hlinkClick xmlns:r="http://schemas.openxmlformats.org/officeDocument/2006/relationships" r:id="rId2"/>
        </xdr:cNvPr>
        <xdr:cNvSpPr/>
      </xdr:nvSpPr>
      <xdr:spPr>
        <a:xfrm>
          <a:off x="47625" y="0"/>
          <a:ext cx="685800" cy="4095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1</xdr:row>
      <xdr:rowOff>109537</xdr:rowOff>
    </xdr:from>
    <xdr:to>
      <xdr:col>12</xdr:col>
      <xdr:colOff>457199</xdr:colOff>
      <xdr:row>15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885825</xdr:colOff>
      <xdr:row>2</xdr:row>
      <xdr:rowOff>28575</xdr:rowOff>
    </xdr:to>
    <xdr:sp macro="" textlink="">
      <xdr:nvSpPr>
        <xdr:cNvPr id="3" name="Left Arrow 2">
          <a:hlinkClick xmlns:r="http://schemas.openxmlformats.org/officeDocument/2006/relationships" r:id="rId2"/>
        </xdr:cNvPr>
        <xdr:cNvSpPr/>
      </xdr:nvSpPr>
      <xdr:spPr>
        <a:xfrm>
          <a:off x="200025" y="0"/>
          <a:ext cx="685800" cy="4095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2</xdr:row>
      <xdr:rowOff>33337</xdr:rowOff>
    </xdr:from>
    <xdr:to>
      <xdr:col>10</xdr:col>
      <xdr:colOff>257175</xdr:colOff>
      <xdr:row>14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142875</xdr:colOff>
      <xdr:row>0</xdr:row>
      <xdr:rowOff>0</xdr:rowOff>
    </xdr:from>
    <xdr:to>
      <xdr:col>0</xdr:col>
      <xdr:colOff>828675</xdr:colOff>
      <xdr:row>2</xdr:row>
      <xdr:rowOff>28575</xdr:rowOff>
    </xdr:to>
    <xdr:sp macro="" textlink="">
      <xdr:nvSpPr>
        <xdr:cNvPr id="3" name="Left Arrow 2">
          <a:hlinkClick xmlns:r="http://schemas.openxmlformats.org/officeDocument/2006/relationships" r:id="rId2"/>
        </xdr:cNvPr>
        <xdr:cNvSpPr/>
      </xdr:nvSpPr>
      <xdr:spPr>
        <a:xfrm>
          <a:off x="142875" y="0"/>
          <a:ext cx="685800" cy="4095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0</xdr:rowOff>
    </xdr:from>
    <xdr:to>
      <xdr:col>0</xdr:col>
      <xdr:colOff>819150</xdr:colOff>
      <xdr:row>2</xdr:row>
      <xdr:rowOff>28575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133350" y="0"/>
          <a:ext cx="685800" cy="4095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olu" refreshedDate="44765.864856134256" createdVersion="5" refreshedVersion="5" minRefreshableVersion="3" recordCount="38">
  <cacheSource type="worksheet">
    <worksheetSource name="Table1"/>
  </cacheSource>
  <cacheFields count="11">
    <cacheField name="Invoice No" numFmtId="0">
      <sharedItems/>
    </cacheField>
    <cacheField name="Date" numFmtId="14">
      <sharedItems containsSemiMixedTypes="0" containsNonDate="0" containsDate="1" containsString="0" minDate="2021-05-04T00:00:00" maxDate="2022-07-23T00:00:00" count="14">
        <d v="2022-07-22T00:00:00"/>
        <d v="2021-05-04T00:00:00"/>
        <d v="2021-05-08T00:00:00"/>
        <d v="2021-05-07T00:00:00"/>
        <d v="2021-05-09T00:00:00"/>
        <d v="2021-05-10T00:00:00"/>
        <d v="2021-05-11T00:00:00"/>
        <d v="2021-05-13T00:00:00"/>
        <d v="2021-05-16T00:00:00"/>
        <d v="2021-05-17T00:00:00"/>
        <d v="2021-05-20T00:00:00"/>
        <d v="2021-05-21T00:00:00"/>
        <d v="2021-05-23T00:00:00"/>
        <d v="2021-05-24T00:00:00"/>
      </sharedItems>
    </cacheField>
    <cacheField name="Item" numFmtId="0">
      <sharedItems containsBlank="1" count="10">
        <s v="Ram"/>
        <s v="Printer"/>
        <s v="Laptop"/>
        <s v="cd"/>
        <s v="DVD"/>
        <s v="LAP"/>
        <s v="PRI"/>
        <s v="MON"/>
        <s v="Pen Drive"/>
        <m u="1"/>
      </sharedItems>
    </cacheField>
    <cacheField name="Item code" numFmtId="0">
      <sharedItems/>
    </cacheField>
    <cacheField name="Price" numFmtId="0">
      <sharedItems containsSemiMixedTypes="0" containsString="0" containsNumber="1" containsInteger="1" minValue="10" maxValue="40100"/>
    </cacheField>
    <cacheField name="Qty" numFmtId="0">
      <sharedItems containsSemiMixedTypes="0" containsString="0" containsNumber="1" containsInteger="1" minValue="1" maxValue="60"/>
    </cacheField>
    <cacheField name="Total" numFmtId="0">
      <sharedItems containsSemiMixedTypes="0" containsString="0" containsNumber="1" containsInteger="1" minValue="100" maxValue="75000"/>
    </cacheField>
    <cacheField name="GST Type" numFmtId="0">
      <sharedItems/>
    </cacheField>
    <cacheField name="GST" numFmtId="0">
      <sharedItems containsSemiMixedTypes="0" containsString="0" containsNumber="1" minValue="18" maxValue="13500"/>
    </cacheField>
    <cacheField name="Amount" numFmtId="0">
      <sharedItems containsSemiMixedTypes="0" containsString="0" containsNumber="1" minValue="118" maxValue="88500"/>
    </cacheField>
    <cacheField name="Sales Man" numFmtId="0">
      <sharedItems containsBlank="1" count="5">
        <s v="Manoj"/>
        <s v="Hari"/>
        <s v="Naresh"/>
        <s v="Gopali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s v="Ram0662Man-100"/>
    <x v="0"/>
    <x v="0"/>
    <s v="Ram0662Man"/>
    <n v="550"/>
    <n v="2"/>
    <n v="1100"/>
    <s v="SGST/CGST"/>
    <n v="198"/>
    <n v="1298"/>
    <x v="0"/>
  </r>
  <r>
    <s v="Pri0662Har-100"/>
    <x v="0"/>
    <x v="1"/>
    <s v="Pri0662Har"/>
    <n v="13500"/>
    <n v="1"/>
    <n v="13500"/>
    <s v="IGST"/>
    <n v="2430"/>
    <n v="15930"/>
    <x v="1"/>
  </r>
  <r>
    <s v="Lap0662Man-100"/>
    <x v="0"/>
    <x v="2"/>
    <s v="Lap0662Man"/>
    <n v="35000"/>
    <n v="1"/>
    <n v="35000"/>
    <s v="SGST/CGST"/>
    <n v="6300"/>
    <n v="41300"/>
    <x v="0"/>
  </r>
  <r>
    <s v="cd0662man-100"/>
    <x v="1"/>
    <x v="3"/>
    <s v="cd0662man"/>
    <n v="10"/>
    <n v="20"/>
    <n v="400"/>
    <s v="SGST/CGST"/>
    <n v="72"/>
    <n v="472"/>
    <x v="0"/>
  </r>
  <r>
    <s v="DVD0662man-101"/>
    <x v="2"/>
    <x v="4"/>
    <s v="DVD0662man"/>
    <n v="20"/>
    <n v="50"/>
    <n v="1000"/>
    <s v="SGST/CGST"/>
    <n v="180"/>
    <n v="1180"/>
    <x v="0"/>
  </r>
  <r>
    <s v="cd0662man-102"/>
    <x v="2"/>
    <x v="3"/>
    <s v="cd0662man"/>
    <n v="10"/>
    <n v="20"/>
    <n v="200"/>
    <s v="SGST/CGST"/>
    <n v="36"/>
    <n v="236"/>
    <x v="0"/>
  </r>
  <r>
    <s v="cd0662man-103"/>
    <x v="3"/>
    <x v="3"/>
    <s v="cd0662man"/>
    <n v="10"/>
    <n v="25"/>
    <n v="250"/>
    <s v="IGST"/>
    <n v="45"/>
    <n v="295"/>
    <x v="0"/>
  </r>
  <r>
    <s v="cd0662man-104"/>
    <x v="2"/>
    <x v="3"/>
    <s v="cd0662man"/>
    <n v="10"/>
    <n v="30"/>
    <n v="300"/>
    <s v="SGST/CGST"/>
    <n v="54"/>
    <n v="354"/>
    <x v="0"/>
  </r>
  <r>
    <s v="RAM0662man-105"/>
    <x v="4"/>
    <x v="0"/>
    <s v="Ram0662Man"/>
    <n v="500"/>
    <n v="2"/>
    <n v="1000"/>
    <s v="IGST"/>
    <n v="180"/>
    <n v="1180"/>
    <x v="0"/>
  </r>
  <r>
    <s v="Lap0662man-106"/>
    <x v="5"/>
    <x v="5"/>
    <s v="Lap0662Man"/>
    <n v="30000"/>
    <n v="1"/>
    <n v="30000"/>
    <s v="IGST"/>
    <n v="5400"/>
    <n v="35400"/>
    <x v="0"/>
  </r>
  <r>
    <s v="Pri0662man-107"/>
    <x v="6"/>
    <x v="6"/>
    <s v="Pri0662man"/>
    <n v="15000"/>
    <n v="5"/>
    <n v="75000"/>
    <s v="IGST"/>
    <n v="13500"/>
    <n v="88500"/>
    <x v="0"/>
  </r>
  <r>
    <s v="cd0662man-108"/>
    <x v="6"/>
    <x v="3"/>
    <s v="cd0662man"/>
    <n v="10"/>
    <n v="15"/>
    <n v="150"/>
    <s v="SGST/CGST"/>
    <n v="27"/>
    <n v="177"/>
    <x v="0"/>
  </r>
  <r>
    <s v="Mon0662har-109"/>
    <x v="6"/>
    <x v="7"/>
    <s v="Mon0662man"/>
    <n v="4100"/>
    <n v="2"/>
    <n v="8200"/>
    <s v="SGST/CGST"/>
    <n v="1476"/>
    <n v="9676"/>
    <x v="1"/>
  </r>
  <r>
    <s v="DVD0662har-110"/>
    <x v="6"/>
    <x v="4"/>
    <s v="DVD0662man"/>
    <n v="15"/>
    <n v="35"/>
    <n v="525"/>
    <s v="SGST/CGST"/>
    <n v="94.5"/>
    <n v="619.5"/>
    <x v="1"/>
  </r>
  <r>
    <s v="RAM0662har-111"/>
    <x v="7"/>
    <x v="0"/>
    <s v="Ram0662Man"/>
    <n v="450"/>
    <n v="5"/>
    <n v="2250"/>
    <s v="IGST"/>
    <n v="405"/>
    <n v="2655"/>
    <x v="1"/>
  </r>
  <r>
    <s v="cd0662har-100"/>
    <x v="8"/>
    <x v="3"/>
    <s v="cd0662man"/>
    <n v="10"/>
    <n v="30"/>
    <n v="300"/>
    <s v="SGST/CGST"/>
    <n v="54"/>
    <n v="354"/>
    <x v="1"/>
  </r>
  <r>
    <s v="DVD0662har-101"/>
    <x v="9"/>
    <x v="4"/>
    <s v="DVD0662man"/>
    <n v="15"/>
    <n v="35"/>
    <n v="525"/>
    <s v="IGST"/>
    <n v="94.5"/>
    <n v="619.5"/>
    <x v="1"/>
  </r>
  <r>
    <s v="cd0662har-102"/>
    <x v="9"/>
    <x v="3"/>
    <s v="cd0662man"/>
    <n v="10"/>
    <n v="50"/>
    <n v="500"/>
    <s v="SGST/CGST"/>
    <n v="90"/>
    <n v="590"/>
    <x v="1"/>
  </r>
  <r>
    <s v="cd0662har-103"/>
    <x v="9"/>
    <x v="3"/>
    <s v="cd0662man"/>
    <n v="10"/>
    <n v="20"/>
    <n v="200"/>
    <s v="IGST"/>
    <n v="36"/>
    <n v="236"/>
    <x v="1"/>
  </r>
  <r>
    <s v="cd0662har-104"/>
    <x v="9"/>
    <x v="3"/>
    <s v="cd0662man"/>
    <n v="10"/>
    <n v="50"/>
    <n v="500"/>
    <s v="IGST"/>
    <n v="90"/>
    <n v="590"/>
    <x v="1"/>
  </r>
  <r>
    <s v="RAM0662har-105"/>
    <x v="9"/>
    <x v="0"/>
    <s v="Ram0662Man"/>
    <n v="500"/>
    <n v="4"/>
    <n v="2000"/>
    <s v="IGST"/>
    <n v="360"/>
    <n v="2360"/>
    <x v="1"/>
  </r>
  <r>
    <s v="Lap0662Nar-106"/>
    <x v="9"/>
    <x v="5"/>
    <s v="Lap0662Man"/>
    <n v="40100"/>
    <n v="1"/>
    <n v="40100"/>
    <s v="SGST/CGST"/>
    <n v="7218"/>
    <n v="47318"/>
    <x v="2"/>
  </r>
  <r>
    <s v="Pri0662Nar-107"/>
    <x v="9"/>
    <x v="6"/>
    <s v="Pri0662man"/>
    <n v="12500"/>
    <n v="2"/>
    <n v="25000"/>
    <s v="SGST/CGST"/>
    <n v="4500"/>
    <n v="29500"/>
    <x v="2"/>
  </r>
  <r>
    <s v="cd0662Nar-108"/>
    <x v="9"/>
    <x v="3"/>
    <s v="cd0662man"/>
    <n v="10"/>
    <n v="20"/>
    <n v="200"/>
    <s v="SGST/CGST"/>
    <n v="36"/>
    <n v="236"/>
    <x v="2"/>
  </r>
  <r>
    <s v="Mon0662Nar-109"/>
    <x v="10"/>
    <x v="7"/>
    <s v="Mon0662man"/>
    <n v="4000"/>
    <n v="3"/>
    <n v="12000"/>
    <s v="IGST"/>
    <n v="2160"/>
    <n v="14160"/>
    <x v="2"/>
  </r>
  <r>
    <s v="DVD0662Nar-110"/>
    <x v="10"/>
    <x v="4"/>
    <s v="DVD0662man"/>
    <n v="15"/>
    <n v="25"/>
    <n v="375"/>
    <s v="SGST/CGST"/>
    <n v="67.5"/>
    <n v="442.5"/>
    <x v="2"/>
  </r>
  <r>
    <s v="RAM0662Nar-111"/>
    <x v="10"/>
    <x v="0"/>
    <s v="Ram0662Man"/>
    <n v="550"/>
    <n v="3"/>
    <n v="1650"/>
    <s v="IGST"/>
    <n v="297"/>
    <n v="1947"/>
    <x v="2"/>
  </r>
  <r>
    <s v="cd0662Gopal-100"/>
    <x v="11"/>
    <x v="3"/>
    <s v="cd0662man"/>
    <n v="10"/>
    <n v="60"/>
    <n v="600"/>
    <s v="IGST"/>
    <n v="108"/>
    <n v="708"/>
    <x v="3"/>
  </r>
  <r>
    <s v="DVD0662Gopal-101"/>
    <x v="11"/>
    <x v="4"/>
    <s v="DVD0662man"/>
    <n v="15"/>
    <n v="30"/>
    <n v="450"/>
    <s v="SGST/CGST"/>
    <n v="81"/>
    <n v="531"/>
    <x v="3"/>
  </r>
  <r>
    <s v="cd0662Gopal-102"/>
    <x v="11"/>
    <x v="3"/>
    <s v="cd0662man"/>
    <n v="10"/>
    <n v="20"/>
    <n v="200"/>
    <s v="IGST"/>
    <n v="36"/>
    <n v="236"/>
    <x v="3"/>
  </r>
  <r>
    <s v="cd0662Gopal-103"/>
    <x v="11"/>
    <x v="3"/>
    <s v="cd0662man"/>
    <n v="10"/>
    <n v="10"/>
    <n v="100"/>
    <s v="SGST/CGST"/>
    <n v="18"/>
    <n v="118"/>
    <x v="2"/>
  </r>
  <r>
    <s v="cd0662Gopal-104"/>
    <x v="11"/>
    <x v="3"/>
    <s v="cd0662man"/>
    <n v="10"/>
    <n v="40"/>
    <n v="400"/>
    <s v="IGST"/>
    <n v="72"/>
    <n v="472"/>
    <x v="3"/>
  </r>
  <r>
    <s v="RAM0662Gopal-105"/>
    <x v="12"/>
    <x v="0"/>
    <s v="Ram0662Man"/>
    <n v="650"/>
    <n v="3"/>
    <n v="1950"/>
    <s v="SGST/CGST"/>
    <n v="351"/>
    <n v="2301"/>
    <x v="2"/>
  </r>
  <r>
    <s v="Lap0662Gopal-106"/>
    <x v="12"/>
    <x v="5"/>
    <s v="Lap0662Man"/>
    <n v="29000"/>
    <n v="1"/>
    <n v="29000"/>
    <s v="SGST/CGST"/>
    <n v="5220"/>
    <n v="34220"/>
    <x v="2"/>
  </r>
  <r>
    <s v="Pri0662Gopal-107"/>
    <x v="12"/>
    <x v="6"/>
    <s v="Pri0662man"/>
    <n v="21000"/>
    <n v="2"/>
    <n v="42000"/>
    <s v="SGST/CGST"/>
    <n v="7560"/>
    <n v="49560"/>
    <x v="2"/>
  </r>
  <r>
    <s v="cd0662Gopal-108"/>
    <x v="13"/>
    <x v="3"/>
    <s v="cd0662man"/>
    <n v="10"/>
    <n v="40"/>
    <n v="400"/>
    <s v="IGST"/>
    <n v="72"/>
    <n v="472"/>
    <x v="3"/>
  </r>
  <r>
    <s v="Pri0662Gop-101"/>
    <x v="0"/>
    <x v="1"/>
    <s v="Pri0662Gop"/>
    <n v="3500"/>
    <n v="3"/>
    <n v="10500"/>
    <s v="IGST"/>
    <n v="1890"/>
    <n v="12390"/>
    <x v="3"/>
  </r>
  <r>
    <s v="Pen0662Man-102"/>
    <x v="0"/>
    <x v="8"/>
    <s v="Pen0662Man"/>
    <n v="250"/>
    <n v="2"/>
    <n v="500"/>
    <s v="SGST/CGST"/>
    <n v="90"/>
    <n v="59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3:B18" firstHeaderRow="1" firstDataRow="1" firstDataCol="1"/>
  <pivotFields count="11">
    <pivotField showAll="0"/>
    <pivotField axis="axisRow" showAll="0">
      <items count="15">
        <item x="1"/>
        <item x="3"/>
        <item x="2"/>
        <item x="4"/>
        <item x="5"/>
        <item x="6"/>
        <item x="7"/>
        <item x="8"/>
        <item x="9"/>
        <item x="10"/>
        <item x="11"/>
        <item x="12"/>
        <item x="1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Amount" fld="9" baseField="1" baseItem="0"/>
  </dataFields>
  <formats count="12"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1" type="button" dataOnly="0" labelOnly="1" outline="0" axis="axisRow" fieldPosition="0"/>
    </format>
    <format dxfId="61">
      <pivotArea dataOnly="0" labelOnly="1" outline="0" axis="axisValues" fieldPosition="0"/>
    </format>
    <format dxfId="60">
      <pivotArea dataOnly="0" labelOnly="1" fieldPosition="0">
        <references count="1">
          <reference field="1" count="0"/>
        </references>
      </pivotArea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1" type="button" dataOnly="0" labelOnly="1" outline="0" axis="axisRow" fieldPosition="0"/>
    </format>
    <format dxfId="55">
      <pivotArea dataOnly="0" labelOnly="1" outline="0" axis="axisValues" fieldPosition="0"/>
    </format>
    <format dxfId="54">
      <pivotArea dataOnly="0" labelOnly="1" fieldPosition="0">
        <references count="1">
          <reference field="1" count="0"/>
        </references>
      </pivotArea>
    </format>
    <format dxfId="53">
      <pivotArea dataOnly="0" labelOnly="1" grandRow="1" outline="0" fieldPosition="0"/>
    </format>
  </formats>
  <chartFormats count="1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">
  <location ref="A3:D13" firstHeaderRow="0" firstDataRow="1" firstDataCol="1"/>
  <pivotFields count="11">
    <pivotField showAll="0"/>
    <pivotField showAll="0"/>
    <pivotField axis="axisRow" showAll="0">
      <items count="11">
        <item x="7"/>
        <item x="3"/>
        <item x="4"/>
        <item x="5"/>
        <item x="2"/>
        <item x="6"/>
        <item x="1"/>
        <item x="0"/>
        <item m="1" x="9"/>
        <item x="8"/>
        <item t="default"/>
      </items>
    </pivotField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" fld="6" baseField="2" baseItem="0"/>
    <dataField name="Sum of GST" fld="8" baseField="2" baseItem="0"/>
    <dataField name="Sum of Amount" fld="9" baseField="2" baseItem="0"/>
  </dataFields>
  <formats count="12"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2" type="button" dataOnly="0" labelOnly="1" outline="0" axis="axisRow" fieldPosition="0"/>
    </format>
    <format dxfId="49">
      <pivotArea dataOnly="0" labelOnly="1" fieldPosition="0">
        <references count="1">
          <reference field="2" count="0"/>
        </references>
      </pivotArea>
    </format>
    <format dxfId="48">
      <pivotArea dataOnly="0" labelOnly="1" grandRow="1" outline="0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2" type="button" dataOnly="0" labelOnly="1" outline="0" axis="axisRow" fieldPosition="0"/>
    </format>
    <format dxfId="43">
      <pivotArea dataOnly="0" labelOnly="1" fieldPosition="0">
        <references count="1">
          <reference field="2" count="0"/>
        </references>
      </pivotArea>
    </format>
    <format dxfId="42">
      <pivotArea dataOnly="0" labelOnly="1" grandRow="1" outline="0" fieldPosition="0"/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3:B8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6">
        <item x="3"/>
        <item x="1"/>
        <item x="0"/>
        <item x="2"/>
        <item m="1" x="4"/>
        <item t="default"/>
      </items>
    </pivotField>
  </pivotFields>
  <rowFields count="1">
    <field x="1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mount" fld="9" baseField="10" baseItem="0"/>
  </dataFields>
  <formats count="12"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10" type="button" dataOnly="0" labelOnly="1" outline="0" axis="axisRow" fieldPosition="0"/>
    </format>
    <format dxfId="37">
      <pivotArea dataOnly="0" labelOnly="1" outline="0" axis="axisValues" fieldPosition="0"/>
    </format>
    <format dxfId="36">
      <pivotArea dataOnly="0" labelOnly="1" fieldPosition="0">
        <references count="1">
          <reference field="10" count="0"/>
        </references>
      </pivotArea>
    </format>
    <format dxfId="35">
      <pivotArea dataOnly="0" labelOnly="1" grandRow="1" outline="0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10" type="button" dataOnly="0" labelOnly="1" outline="0" axis="axisRow" fieldPosition="0"/>
    </format>
    <format dxfId="31">
      <pivotArea dataOnly="0" labelOnly="1" outline="0" axis="axisValues" fieldPosition="0"/>
    </format>
    <format dxfId="30">
      <pivotArea dataOnly="0" labelOnly="1" fieldPosition="0">
        <references count="1">
          <reference field="10" count="0"/>
        </references>
      </pivotArea>
    </format>
    <format dxfId="29">
      <pivotArea dataOnly="0" labelOnly="1" grandRow="1" outline="0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D16" firstHeaderRow="0" firstDataRow="1" firstDataCol="1"/>
  <pivotFields count="11">
    <pivotField showAll="0"/>
    <pivotField axis="axisRow" showAll="0">
      <items count="15">
        <item x="1"/>
        <item x="3"/>
        <item x="2"/>
        <item x="4"/>
        <item x="5"/>
        <item x="6"/>
        <item x="7"/>
        <item x="8"/>
        <item x="9"/>
        <item x="10"/>
        <item x="11"/>
        <item x="12"/>
        <item x="13"/>
        <item x="0"/>
        <item t="default"/>
      </items>
    </pivotField>
    <pivotField axis="axisRow" showAll="0">
      <items count="11">
        <item x="7"/>
        <item sd="0" x="3"/>
        <item sd="0" x="4"/>
        <item sd="0" x="5"/>
        <item sd="0" x="2"/>
        <item sd="0" x="6"/>
        <item sd="0" x="1"/>
        <item sd="0" x="0"/>
        <item m="1" x="9"/>
        <item x="8"/>
        <item t="default"/>
      </items>
    </pivotField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</pivotFields>
  <rowFields count="2">
    <field x="2"/>
    <field x="1"/>
  </rowFields>
  <rowItems count="13">
    <i>
      <x/>
    </i>
    <i r="1">
      <x v="5"/>
    </i>
    <i r="1">
      <x v="9"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r="1"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" fld="6" baseField="2" baseItem="0"/>
    <dataField name="Sum of GST" fld="8" baseField="2" baseItem="0"/>
    <dataField name="Sum of Amount" fld="9" baseField="2" baseItem="0"/>
  </dataFields>
  <formats count="14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2" type="button" dataOnly="0" labelOnly="1" outline="0" axis="axisRow" fieldPosition="0"/>
    </format>
    <format dxfId="25">
      <pivotArea dataOnly="0" labelOnly="1" fieldPosition="0">
        <references count="1">
          <reference field="2" count="0"/>
        </references>
      </pivotArea>
    </format>
    <format dxfId="24">
      <pivotArea dataOnly="0" labelOnly="1" grandRow="1" outline="0" fieldPosition="0"/>
    </format>
    <format dxfId="23">
      <pivotArea dataOnly="0" labelOnly="1" fieldPosition="0">
        <references count="2">
          <reference field="1" count="0"/>
          <reference field="2" count="1" selected="0">
            <x v="0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2" type="button" dataOnly="0" labelOnly="1" outline="0" axis="axisRow" fieldPosition="0"/>
    </format>
    <format dxfId="18">
      <pivotArea dataOnly="0" labelOnly="1" fieldPosition="0">
        <references count="1">
          <reference field="2" count="0"/>
        </references>
      </pivotArea>
    </format>
    <format dxfId="17">
      <pivotArea dataOnly="0" labelOnly="1" grandRow="1" outline="0" fieldPosition="0"/>
    </format>
    <format dxfId="16">
      <pivotArea dataOnly="0" labelOnly="1" fieldPosition="0">
        <references count="2">
          <reference field="1" count="0"/>
          <reference field="2" count="1" selected="0">
            <x v="0"/>
          </reference>
        </references>
      </pivotArea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2:K40" totalsRowShown="0" headerRowDxfId="14" dataDxfId="12" headerRowBorderDxfId="13" tableBorderDxfId="11">
  <autoFilter ref="A2:K40"/>
  <tableColumns count="11">
    <tableColumn id="1" name="Invoice No" dataDxfId="10"/>
    <tableColumn id="2" name="Date" dataDxfId="9"/>
    <tableColumn id="3" name="Item" dataDxfId="8"/>
    <tableColumn id="4" name="Item code" dataDxfId="7"/>
    <tableColumn id="5" name="Price" dataDxfId="6"/>
    <tableColumn id="6" name="Qty" dataDxfId="5"/>
    <tableColumn id="11" name="Total" dataDxfId="4"/>
    <tableColumn id="7" name="GST Type" dataDxfId="3"/>
    <tableColumn id="8" name="GST" dataDxfId="2"/>
    <tableColumn id="9" name="Amount" dataDxfId="1"/>
    <tableColumn id="10" name="Sales Ma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6"/>
  <sheetViews>
    <sheetView showGridLines="0" tabSelected="1" zoomScaleNormal="100" workbookViewId="0"/>
  </sheetViews>
  <sheetFormatPr defaultColWidth="0" defaultRowHeight="15" zeroHeight="1" x14ac:dyDescent="0.25"/>
  <cols>
    <col min="1" max="1" width="5.140625" style="6" customWidth="1"/>
    <col min="2" max="2" width="9" style="6" customWidth="1"/>
    <col min="3" max="3" width="3.140625" style="6" customWidth="1"/>
    <col min="4" max="4" width="21.85546875" style="6" customWidth="1"/>
    <col min="5" max="5" width="3.85546875" style="6" customWidth="1"/>
    <col min="6" max="6" width="13.42578125" style="6" customWidth="1"/>
    <col min="7" max="7" width="3.5703125" style="6" customWidth="1"/>
    <col min="8" max="8" width="20.42578125" style="6" customWidth="1"/>
    <col min="9" max="9" width="9.140625" style="6" customWidth="1"/>
    <col min="10" max="10" width="10.28515625" style="6" customWidth="1"/>
    <col min="11" max="11" width="9.140625" style="6" customWidth="1"/>
    <col min="12" max="16384" width="9.140625" style="6" hidden="1"/>
  </cols>
  <sheetData>
    <row r="1" spans="1:12" ht="18.75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 ht="18.75" x14ac:dyDescent="0.3">
      <c r="A2" s="5"/>
      <c r="B2" s="28" t="s">
        <v>68</v>
      </c>
      <c r="C2" s="28"/>
      <c r="D2" s="28"/>
      <c r="E2" s="28"/>
      <c r="F2" s="28"/>
      <c r="G2" s="28"/>
      <c r="H2" s="28"/>
      <c r="I2" s="28"/>
      <c r="J2" s="28"/>
      <c r="K2" s="5"/>
      <c r="L2" s="5"/>
    </row>
    <row r="3" spans="1:12" ht="18.75" x14ac:dyDescent="0.3">
      <c r="A3" s="5"/>
      <c r="B3" s="5"/>
      <c r="C3" s="5"/>
      <c r="D3" s="5"/>
      <c r="E3" s="5"/>
      <c r="F3" s="5"/>
      <c r="G3" s="5"/>
      <c r="H3" s="15">
        <v>103</v>
      </c>
      <c r="I3" s="5"/>
      <c r="J3" s="5"/>
      <c r="K3" s="5"/>
      <c r="L3" s="5"/>
    </row>
    <row r="4" spans="1:12" ht="18.75" x14ac:dyDescent="0.3">
      <c r="A4" s="5"/>
      <c r="B4" s="7" t="s">
        <v>3</v>
      </c>
      <c r="C4" s="7" t="s">
        <v>0</v>
      </c>
      <c r="D4" s="9">
        <f ca="1">TODAY()</f>
        <v>44765</v>
      </c>
      <c r="E4" s="5"/>
      <c r="F4" s="7" t="s">
        <v>10</v>
      </c>
      <c r="G4" s="7" t="s">
        <v>0</v>
      </c>
      <c r="H4" s="8" t="str">
        <f>H6&amp;"-"&amp;H3</f>
        <v>-103</v>
      </c>
      <c r="I4" s="5"/>
      <c r="J4" s="5"/>
      <c r="K4" s="5"/>
      <c r="L4" s="5"/>
    </row>
    <row r="5" spans="1:12" ht="6.95" customHeight="1" x14ac:dyDescent="0.3">
      <c r="A5" s="5"/>
      <c r="B5" s="7"/>
      <c r="C5" s="7"/>
      <c r="D5" s="5"/>
      <c r="E5" s="5"/>
      <c r="F5" s="5"/>
      <c r="G5" s="7"/>
      <c r="H5" s="5"/>
      <c r="I5" s="5"/>
      <c r="J5" s="5"/>
      <c r="K5" s="5"/>
      <c r="L5" s="5"/>
    </row>
    <row r="6" spans="1:12" ht="18.75" x14ac:dyDescent="0.3">
      <c r="A6" s="5"/>
      <c r="B6" s="7" t="s">
        <v>4</v>
      </c>
      <c r="C6" s="7" t="s">
        <v>0</v>
      </c>
      <c r="D6" s="12"/>
      <c r="E6" s="5"/>
      <c r="F6" s="7" t="s">
        <v>12</v>
      </c>
      <c r="G6" s="7" t="s">
        <v>0</v>
      </c>
      <c r="H6" s="14" t="str">
        <f>IF(D6&lt;&gt;"",LEFT(D6,3)&amp;"0662"&amp;LEFT(H16,3),"")</f>
        <v/>
      </c>
      <c r="I6" s="5"/>
      <c r="J6" s="5"/>
      <c r="K6" s="5"/>
      <c r="L6" s="5"/>
    </row>
    <row r="7" spans="1:12" ht="6.95" customHeight="1" x14ac:dyDescent="0.3">
      <c r="A7" s="5"/>
      <c r="B7" s="7"/>
      <c r="C7" s="7"/>
      <c r="D7" s="5"/>
      <c r="E7" s="5"/>
      <c r="F7" s="5"/>
      <c r="G7" s="7"/>
      <c r="H7" s="5"/>
      <c r="I7" s="5"/>
      <c r="J7" s="5"/>
      <c r="K7" s="5"/>
      <c r="L7" s="5"/>
    </row>
    <row r="8" spans="1:12" ht="18.75" x14ac:dyDescent="0.3">
      <c r="A8" s="5"/>
      <c r="B8" s="7" t="s">
        <v>6</v>
      </c>
      <c r="C8" s="7" t="s">
        <v>0</v>
      </c>
      <c r="D8" s="12"/>
      <c r="E8" s="5"/>
      <c r="F8" s="7" t="s">
        <v>16</v>
      </c>
      <c r="G8" s="7" t="s">
        <v>0</v>
      </c>
      <c r="H8" s="5"/>
      <c r="I8" s="5"/>
      <c r="J8" s="5">
        <v>2</v>
      </c>
      <c r="K8" s="5"/>
      <c r="L8" s="5"/>
    </row>
    <row r="9" spans="1:12" ht="6.95" customHeight="1" x14ac:dyDescent="0.3">
      <c r="A9" s="5"/>
      <c r="B9" s="7"/>
      <c r="C9" s="7"/>
      <c r="D9" s="10"/>
      <c r="E9" s="5"/>
      <c r="F9" s="5"/>
      <c r="G9" s="7"/>
      <c r="H9" s="5"/>
      <c r="I9" s="5"/>
      <c r="J9" s="5"/>
      <c r="K9" s="5"/>
      <c r="L9" s="5"/>
    </row>
    <row r="10" spans="1:12" ht="18.75" x14ac:dyDescent="0.3">
      <c r="A10" s="5"/>
      <c r="B10" s="7" t="s">
        <v>7</v>
      </c>
      <c r="C10" s="7" t="s">
        <v>0</v>
      </c>
      <c r="D10" s="12"/>
      <c r="E10" s="5"/>
      <c r="F10" s="7" t="str">
        <f>IF(J8=1,"IGST","SGST")</f>
        <v>SGST</v>
      </c>
      <c r="G10" s="7" t="s">
        <v>0</v>
      </c>
      <c r="H10" s="20">
        <f>IF(F10="IGST",D12*D14,D12*D14/2)</f>
        <v>0</v>
      </c>
      <c r="I10" s="5"/>
      <c r="J10" s="5"/>
      <c r="K10" s="5"/>
      <c r="L10" s="5"/>
    </row>
    <row r="11" spans="1:12" ht="6.95" customHeight="1" x14ac:dyDescent="0.3">
      <c r="A11" s="5"/>
      <c r="B11" s="7"/>
      <c r="C11" s="7"/>
      <c r="D11" s="10"/>
      <c r="E11" s="5"/>
      <c r="F11" s="5"/>
      <c r="G11" s="7"/>
      <c r="H11" s="10"/>
      <c r="I11" s="5"/>
      <c r="J11" s="5"/>
      <c r="K11" s="5"/>
      <c r="L11" s="5"/>
    </row>
    <row r="12" spans="1:12" ht="18.75" x14ac:dyDescent="0.3">
      <c r="A12" s="5"/>
      <c r="B12" s="7" t="s">
        <v>8</v>
      </c>
      <c r="C12" s="7" t="s">
        <v>0</v>
      </c>
      <c r="D12" s="20">
        <f>D8*D10</f>
        <v>0</v>
      </c>
      <c r="E12" s="5"/>
      <c r="F12" s="7" t="str">
        <f>IF(J8=2,"CGST","")</f>
        <v>CGST</v>
      </c>
      <c r="G12" s="7" t="s">
        <v>0</v>
      </c>
      <c r="H12" s="20">
        <f>IF(F12="CGST",D12*D14/2,"")</f>
        <v>0</v>
      </c>
      <c r="I12" s="5"/>
      <c r="J12" s="5"/>
      <c r="K12" s="5"/>
      <c r="L12" s="5"/>
    </row>
    <row r="13" spans="1:12" ht="6.95" customHeight="1" x14ac:dyDescent="0.3">
      <c r="A13" s="5"/>
      <c r="B13" s="7"/>
      <c r="C13" s="7"/>
      <c r="D13" s="10"/>
      <c r="E13" s="5"/>
      <c r="F13" s="7"/>
      <c r="G13" s="13"/>
      <c r="H13" s="11"/>
      <c r="I13" s="5"/>
      <c r="J13" s="5"/>
      <c r="K13" s="5"/>
      <c r="L13" s="5"/>
    </row>
    <row r="14" spans="1:12" ht="18.75" x14ac:dyDescent="0.3">
      <c r="A14" s="5"/>
      <c r="B14" s="7" t="s">
        <v>13</v>
      </c>
      <c r="C14" s="7" t="s">
        <v>0</v>
      </c>
      <c r="D14" s="16">
        <v>0.18</v>
      </c>
      <c r="E14" s="5"/>
      <c r="F14" s="7" t="s">
        <v>14</v>
      </c>
      <c r="G14" s="7" t="s">
        <v>0</v>
      </c>
      <c r="H14" s="20">
        <f>IF(F10="igst",D12+H10,D12+H10+H12)</f>
        <v>0</v>
      </c>
      <c r="I14" s="5"/>
      <c r="J14" s="5"/>
      <c r="K14" s="5"/>
      <c r="L14" s="5"/>
    </row>
    <row r="15" spans="1:12" ht="6.95" customHeight="1" x14ac:dyDescent="0.3">
      <c r="A15" s="5"/>
      <c r="E15" s="5"/>
      <c r="F15" s="5"/>
      <c r="G15" s="7"/>
      <c r="H15" s="5"/>
      <c r="I15" s="5"/>
      <c r="J15" s="5"/>
      <c r="K15" s="5"/>
      <c r="L15" s="5"/>
    </row>
    <row r="16" spans="1:12" ht="18.75" x14ac:dyDescent="0.3">
      <c r="A16" s="5"/>
      <c r="E16" s="5"/>
      <c r="F16" s="7" t="s">
        <v>9</v>
      </c>
      <c r="G16" s="7" t="s">
        <v>0</v>
      </c>
      <c r="H16" s="8"/>
      <c r="I16" s="5"/>
      <c r="J16" s="5"/>
      <c r="K16" s="5"/>
      <c r="L16" s="5"/>
    </row>
    <row r="17" spans="1:12" ht="6.95" customHeight="1" x14ac:dyDescent="0.3">
      <c r="A17" s="5"/>
      <c r="E17" s="5"/>
      <c r="F17" s="7"/>
      <c r="G17" s="7"/>
      <c r="H17" s="5"/>
      <c r="I17" s="5"/>
      <c r="J17" s="5"/>
      <c r="K17" s="5"/>
      <c r="L17" s="5"/>
    </row>
    <row r="18" spans="1:12" ht="18.75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2" ht="18.75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2" ht="18.75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spans="1:12" ht="18.75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</row>
    <row r="22" spans="1:12" x14ac:dyDescent="0.25"/>
    <row r="23" spans="1:12" x14ac:dyDescent="0.25"/>
    <row r="24" spans="1:12" hidden="1" x14ac:dyDescent="0.25"/>
    <row r="25" spans="1:12" ht="18.75" hidden="1" x14ac:dyDescent="0.3">
      <c r="A25" s="19" t="s">
        <v>10</v>
      </c>
      <c r="B25" s="19" t="s">
        <v>3</v>
      </c>
      <c r="C25" s="19" t="s">
        <v>4</v>
      </c>
      <c r="D25" s="19" t="s">
        <v>5</v>
      </c>
      <c r="E25" s="19" t="s">
        <v>6</v>
      </c>
      <c r="F25" s="19" t="s">
        <v>7</v>
      </c>
      <c r="G25" s="19" t="s">
        <v>8</v>
      </c>
      <c r="H25" s="19" t="s">
        <v>17</v>
      </c>
      <c r="I25" s="19" t="s">
        <v>13</v>
      </c>
      <c r="J25" s="19" t="s">
        <v>14</v>
      </c>
      <c r="K25" s="19" t="s">
        <v>9</v>
      </c>
    </row>
    <row r="26" spans="1:12" ht="18.75" hidden="1" x14ac:dyDescent="0.3">
      <c r="A26" s="6" t="str">
        <f>H4</f>
        <v>-103</v>
      </c>
      <c r="B26" s="18">
        <f ca="1">D4</f>
        <v>44765</v>
      </c>
      <c r="C26" s="12">
        <f>D6</f>
        <v>0</v>
      </c>
      <c r="D26" s="6" t="str">
        <f>H6</f>
        <v/>
      </c>
      <c r="E26" s="6">
        <f>D8</f>
        <v>0</v>
      </c>
      <c r="F26" s="6">
        <f>D10</f>
        <v>0</v>
      </c>
      <c r="G26" s="6">
        <f>D12</f>
        <v>0</v>
      </c>
      <c r="H26" s="6" t="str">
        <f>IF(F10="igst","IGST","SGST/CGST")</f>
        <v>SGST/CGST</v>
      </c>
      <c r="I26" s="6">
        <f>IF(H26="igst",H10,H10+H12)</f>
        <v>0</v>
      </c>
      <c r="J26" s="21">
        <f>H14</f>
        <v>0</v>
      </c>
      <c r="K26" s="6">
        <f>H16</f>
        <v>0</v>
      </c>
    </row>
  </sheetData>
  <mergeCells count="1">
    <mergeCell ref="B2:J2"/>
  </mergeCells>
  <conditionalFormatting sqref="D4 H4">
    <cfRule type="notContainsBlanks" dxfId="65" priority="1">
      <formula>LEN(TRIM(D4))&gt;0</formula>
    </cfRule>
  </conditionalFormatting>
  <pageMargins left="0.7" right="0.7" top="0.75" bottom="3" header="0.3" footer="0.3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Option Button 14">
              <controlPr defaultSize="0" autoFill="0" autoLine="0" autoPict="0">
                <anchor moveWithCells="1">
                  <from>
                    <xdr:col>6</xdr:col>
                    <xdr:colOff>228600</xdr:colOff>
                    <xdr:row>7</xdr:row>
                    <xdr:rowOff>38100</xdr:rowOff>
                  </from>
                  <to>
                    <xdr:col>7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Option Button 15">
              <controlPr defaultSize="0" autoFill="0" autoLine="0" autoPict="0">
                <anchor moveWithCells="1">
                  <from>
                    <xdr:col>7</xdr:col>
                    <xdr:colOff>561975</xdr:colOff>
                    <xdr:row>7</xdr:row>
                    <xdr:rowOff>38100</xdr:rowOff>
                  </from>
                  <to>
                    <xdr:col>8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9"/>
  <sheetViews>
    <sheetView workbookViewId="0"/>
  </sheetViews>
  <sheetFormatPr defaultRowHeight="15" x14ac:dyDescent="0.25"/>
  <cols>
    <col min="1" max="1" width="16.42578125" bestFit="1" customWidth="1"/>
    <col min="2" max="2" width="19" bestFit="1" customWidth="1"/>
  </cols>
  <sheetData>
    <row r="3" spans="1:2" ht="18.75" x14ac:dyDescent="0.3">
      <c r="A3" s="22" t="s">
        <v>77</v>
      </c>
      <c r="B3" s="23" t="s">
        <v>79</v>
      </c>
    </row>
    <row r="4" spans="1:2" ht="18.75" x14ac:dyDescent="0.3">
      <c r="A4" s="24">
        <v>44320</v>
      </c>
      <c r="B4" s="25">
        <v>472</v>
      </c>
    </row>
    <row r="5" spans="1:2" ht="18.75" x14ac:dyDescent="0.3">
      <c r="A5" s="24">
        <v>44323</v>
      </c>
      <c r="B5" s="25">
        <v>295</v>
      </c>
    </row>
    <row r="6" spans="1:2" ht="18.75" x14ac:dyDescent="0.3">
      <c r="A6" s="24">
        <v>44324</v>
      </c>
      <c r="B6" s="25">
        <v>1770</v>
      </c>
    </row>
    <row r="7" spans="1:2" ht="18.75" x14ac:dyDescent="0.3">
      <c r="A7" s="24">
        <v>44325</v>
      </c>
      <c r="B7" s="25">
        <v>1180</v>
      </c>
    </row>
    <row r="8" spans="1:2" ht="18.75" x14ac:dyDescent="0.3">
      <c r="A8" s="24">
        <v>44326</v>
      </c>
      <c r="B8" s="25">
        <v>35400</v>
      </c>
    </row>
    <row r="9" spans="1:2" ht="18.75" x14ac:dyDescent="0.3">
      <c r="A9" s="24">
        <v>44327</v>
      </c>
      <c r="B9" s="25">
        <v>98972.5</v>
      </c>
    </row>
    <row r="10" spans="1:2" ht="18.75" x14ac:dyDescent="0.3">
      <c r="A10" s="24">
        <v>44329</v>
      </c>
      <c r="B10" s="25">
        <v>2655</v>
      </c>
    </row>
    <row r="11" spans="1:2" ht="18.75" x14ac:dyDescent="0.3">
      <c r="A11" s="24">
        <v>44332</v>
      </c>
      <c r="B11" s="25">
        <v>354</v>
      </c>
    </row>
    <row r="12" spans="1:2" ht="18.75" x14ac:dyDescent="0.3">
      <c r="A12" s="24">
        <v>44333</v>
      </c>
      <c r="B12" s="25">
        <v>81449.5</v>
      </c>
    </row>
    <row r="13" spans="1:2" ht="18.75" x14ac:dyDescent="0.3">
      <c r="A13" s="24">
        <v>44336</v>
      </c>
      <c r="B13" s="25">
        <v>16549.5</v>
      </c>
    </row>
    <row r="14" spans="1:2" ht="18.75" x14ac:dyDescent="0.3">
      <c r="A14" s="24">
        <v>44337</v>
      </c>
      <c r="B14" s="25">
        <v>2065</v>
      </c>
    </row>
    <row r="15" spans="1:2" ht="18.75" x14ac:dyDescent="0.3">
      <c r="A15" s="24">
        <v>44339</v>
      </c>
      <c r="B15" s="25">
        <v>86081</v>
      </c>
    </row>
    <row r="16" spans="1:2" ht="18.75" x14ac:dyDescent="0.3">
      <c r="A16" s="24">
        <v>44340</v>
      </c>
      <c r="B16" s="25">
        <v>472</v>
      </c>
    </row>
    <row r="17" spans="1:2" ht="18.75" x14ac:dyDescent="0.3">
      <c r="A17" s="24">
        <v>44764</v>
      </c>
      <c r="B17" s="25">
        <v>71508</v>
      </c>
    </row>
    <row r="18" spans="1:2" ht="18.75" x14ac:dyDescent="0.3">
      <c r="A18" s="26" t="s">
        <v>78</v>
      </c>
      <c r="B18" s="25">
        <v>399223.5</v>
      </c>
    </row>
    <row r="19" spans="1:2" ht="18.75" x14ac:dyDescent="0.3"/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13"/>
  <sheetViews>
    <sheetView workbookViewId="0"/>
  </sheetViews>
  <sheetFormatPr defaultRowHeight="15" x14ac:dyDescent="0.25"/>
  <cols>
    <col min="1" max="1" width="16.42578125" bestFit="1" customWidth="1"/>
    <col min="2" max="2" width="15.42578125" bestFit="1" customWidth="1"/>
    <col min="3" max="3" width="14" bestFit="1" customWidth="1"/>
    <col min="4" max="4" width="19" bestFit="1" customWidth="1"/>
  </cols>
  <sheetData>
    <row r="3" spans="1:4" ht="18.75" x14ac:dyDescent="0.3">
      <c r="A3" s="22" t="s">
        <v>77</v>
      </c>
      <c r="B3" s="23" t="s">
        <v>80</v>
      </c>
      <c r="C3" s="23" t="s">
        <v>81</v>
      </c>
      <c r="D3" s="23" t="s">
        <v>79</v>
      </c>
    </row>
    <row r="4" spans="1:4" ht="18.75" x14ac:dyDescent="0.3">
      <c r="A4" s="26" t="s">
        <v>38</v>
      </c>
      <c r="B4" s="25">
        <v>20200</v>
      </c>
      <c r="C4" s="25">
        <v>3636</v>
      </c>
      <c r="D4" s="25">
        <v>23836</v>
      </c>
    </row>
    <row r="5" spans="1:4" ht="18.75" x14ac:dyDescent="0.3">
      <c r="A5" s="26" t="s">
        <v>22</v>
      </c>
      <c r="B5" s="25">
        <v>4700</v>
      </c>
      <c r="C5" s="25">
        <v>846</v>
      </c>
      <c r="D5" s="25">
        <v>5546</v>
      </c>
    </row>
    <row r="6" spans="1:4" ht="18.75" x14ac:dyDescent="0.3">
      <c r="A6" s="26" t="s">
        <v>20</v>
      </c>
      <c r="B6" s="25">
        <v>2875</v>
      </c>
      <c r="C6" s="25">
        <v>517.5</v>
      </c>
      <c r="D6" s="25">
        <v>3392.5</v>
      </c>
    </row>
    <row r="7" spans="1:4" ht="18.75" x14ac:dyDescent="0.3">
      <c r="A7" s="26" t="s">
        <v>36</v>
      </c>
      <c r="B7" s="25">
        <v>99100</v>
      </c>
      <c r="C7" s="25">
        <v>17838</v>
      </c>
      <c r="D7" s="25">
        <v>116938</v>
      </c>
    </row>
    <row r="8" spans="1:4" ht="18.75" x14ac:dyDescent="0.3">
      <c r="A8" s="26" t="s">
        <v>11</v>
      </c>
      <c r="B8" s="25">
        <v>35000</v>
      </c>
      <c r="C8" s="25">
        <v>6300</v>
      </c>
      <c r="D8" s="25">
        <v>41300</v>
      </c>
    </row>
    <row r="9" spans="1:4" ht="18.75" x14ac:dyDescent="0.3">
      <c r="A9" s="26" t="s">
        <v>37</v>
      </c>
      <c r="B9" s="25">
        <v>142000</v>
      </c>
      <c r="C9" s="25">
        <v>25560</v>
      </c>
      <c r="D9" s="25">
        <v>167560</v>
      </c>
    </row>
    <row r="10" spans="1:4" ht="18.75" x14ac:dyDescent="0.3">
      <c r="A10" s="26" t="s">
        <v>72</v>
      </c>
      <c r="B10" s="25">
        <v>24000</v>
      </c>
      <c r="C10" s="25">
        <v>4320</v>
      </c>
      <c r="D10" s="25">
        <v>28320</v>
      </c>
    </row>
    <row r="11" spans="1:4" ht="18.75" x14ac:dyDescent="0.3">
      <c r="A11" s="26" t="s">
        <v>69</v>
      </c>
      <c r="B11" s="25">
        <v>9950</v>
      </c>
      <c r="C11" s="25">
        <v>1791</v>
      </c>
      <c r="D11" s="25">
        <v>11741</v>
      </c>
    </row>
    <row r="12" spans="1:4" ht="18.75" x14ac:dyDescent="0.3">
      <c r="A12" s="26" t="s">
        <v>84</v>
      </c>
      <c r="B12" s="25">
        <v>500</v>
      </c>
      <c r="C12" s="25">
        <v>90</v>
      </c>
      <c r="D12" s="25">
        <v>590</v>
      </c>
    </row>
    <row r="13" spans="1:4" ht="18.75" x14ac:dyDescent="0.3">
      <c r="A13" s="26" t="s">
        <v>78</v>
      </c>
      <c r="B13" s="25">
        <v>338325</v>
      </c>
      <c r="C13" s="25">
        <v>60898.5</v>
      </c>
      <c r="D13" s="25">
        <v>399223.5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9"/>
  <sheetViews>
    <sheetView workbookViewId="0"/>
  </sheetViews>
  <sheetFormatPr defaultRowHeight="15" x14ac:dyDescent="0.25"/>
  <cols>
    <col min="1" max="1" width="16.42578125" bestFit="1" customWidth="1"/>
    <col min="2" max="2" width="19" bestFit="1" customWidth="1"/>
  </cols>
  <sheetData>
    <row r="3" spans="1:2" ht="18.75" x14ac:dyDescent="0.3">
      <c r="A3" s="22" t="s">
        <v>77</v>
      </c>
      <c r="B3" s="23" t="s">
        <v>79</v>
      </c>
    </row>
    <row r="4" spans="1:2" ht="18.75" x14ac:dyDescent="0.3">
      <c r="A4" s="26" t="s">
        <v>67</v>
      </c>
      <c r="B4" s="25">
        <v>14809</v>
      </c>
    </row>
    <row r="5" spans="1:2" ht="18.75" x14ac:dyDescent="0.3">
      <c r="A5" s="26" t="s">
        <v>26</v>
      </c>
      <c r="B5" s="25">
        <v>33630</v>
      </c>
    </row>
    <row r="6" spans="1:2" ht="18.75" x14ac:dyDescent="0.3">
      <c r="A6" s="26" t="s">
        <v>21</v>
      </c>
      <c r="B6" s="25">
        <v>170982</v>
      </c>
    </row>
    <row r="7" spans="1:2" ht="18.75" x14ac:dyDescent="0.3">
      <c r="A7" s="26" t="s">
        <v>2</v>
      </c>
      <c r="B7" s="25">
        <v>179802.5</v>
      </c>
    </row>
    <row r="8" spans="1:2" ht="18.75" x14ac:dyDescent="0.3">
      <c r="A8" s="26" t="s">
        <v>78</v>
      </c>
      <c r="B8" s="25">
        <v>399223.5</v>
      </c>
    </row>
    <row r="9" spans="1:2" ht="18.75" x14ac:dyDescent="0.3"/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20"/>
  <sheetViews>
    <sheetView workbookViewId="0"/>
  </sheetViews>
  <sheetFormatPr defaultRowHeight="15" x14ac:dyDescent="0.25"/>
  <cols>
    <col min="1" max="1" width="16.42578125" bestFit="1" customWidth="1"/>
    <col min="2" max="2" width="15.42578125" bestFit="1" customWidth="1"/>
    <col min="3" max="3" width="14" bestFit="1" customWidth="1"/>
    <col min="4" max="4" width="19" bestFit="1" customWidth="1"/>
  </cols>
  <sheetData>
    <row r="3" spans="1:4" ht="18.75" x14ac:dyDescent="0.3">
      <c r="A3" s="22" t="s">
        <v>77</v>
      </c>
      <c r="B3" s="23" t="s">
        <v>80</v>
      </c>
      <c r="C3" s="23" t="s">
        <v>81</v>
      </c>
      <c r="D3" s="23" t="s">
        <v>79</v>
      </c>
    </row>
    <row r="4" spans="1:4" ht="18.75" x14ac:dyDescent="0.3">
      <c r="A4" s="26" t="s">
        <v>38</v>
      </c>
      <c r="B4" s="25">
        <v>20200</v>
      </c>
      <c r="C4" s="25">
        <v>3636</v>
      </c>
      <c r="D4" s="25">
        <v>23836</v>
      </c>
    </row>
    <row r="5" spans="1:4" ht="18.75" x14ac:dyDescent="0.3">
      <c r="A5" s="27">
        <v>44327</v>
      </c>
      <c r="B5" s="25">
        <v>8200</v>
      </c>
      <c r="C5" s="25">
        <v>1476</v>
      </c>
      <c r="D5" s="25">
        <v>9676</v>
      </c>
    </row>
    <row r="6" spans="1:4" ht="18.75" x14ac:dyDescent="0.3">
      <c r="A6" s="27">
        <v>44336</v>
      </c>
      <c r="B6" s="25">
        <v>12000</v>
      </c>
      <c r="C6" s="25">
        <v>2160</v>
      </c>
      <c r="D6" s="25">
        <v>14160</v>
      </c>
    </row>
    <row r="7" spans="1:4" ht="18.75" x14ac:dyDescent="0.3">
      <c r="A7" s="26" t="s">
        <v>22</v>
      </c>
      <c r="B7" s="25">
        <v>4700</v>
      </c>
      <c r="C7" s="25">
        <v>846</v>
      </c>
      <c r="D7" s="25">
        <v>5546</v>
      </c>
    </row>
    <row r="8" spans="1:4" ht="18.75" x14ac:dyDescent="0.3">
      <c r="A8" s="26" t="s">
        <v>20</v>
      </c>
      <c r="B8" s="25">
        <v>2875</v>
      </c>
      <c r="C8" s="25">
        <v>517.5</v>
      </c>
      <c r="D8" s="25">
        <v>3392.5</v>
      </c>
    </row>
    <row r="9" spans="1:4" ht="18.75" x14ac:dyDescent="0.3">
      <c r="A9" s="26" t="s">
        <v>36</v>
      </c>
      <c r="B9" s="25">
        <v>99100</v>
      </c>
      <c r="C9" s="25">
        <v>17838</v>
      </c>
      <c r="D9" s="25">
        <v>116938</v>
      </c>
    </row>
    <row r="10" spans="1:4" ht="18.75" x14ac:dyDescent="0.3">
      <c r="A10" s="26" t="s">
        <v>11</v>
      </c>
      <c r="B10" s="25">
        <v>35000</v>
      </c>
      <c r="C10" s="25">
        <v>6300</v>
      </c>
      <c r="D10" s="25">
        <v>41300</v>
      </c>
    </row>
    <row r="11" spans="1:4" ht="18.75" x14ac:dyDescent="0.3">
      <c r="A11" s="26" t="s">
        <v>37</v>
      </c>
      <c r="B11" s="25">
        <v>142000</v>
      </c>
      <c r="C11" s="25">
        <v>25560</v>
      </c>
      <c r="D11" s="25">
        <v>167560</v>
      </c>
    </row>
    <row r="12" spans="1:4" ht="18.75" x14ac:dyDescent="0.3">
      <c r="A12" s="26" t="s">
        <v>72</v>
      </c>
      <c r="B12" s="25">
        <v>24000</v>
      </c>
      <c r="C12" s="25">
        <v>4320</v>
      </c>
      <c r="D12" s="25">
        <v>28320</v>
      </c>
    </row>
    <row r="13" spans="1:4" ht="18.75" x14ac:dyDescent="0.3">
      <c r="A13" s="26" t="s">
        <v>69</v>
      </c>
      <c r="B13" s="25">
        <v>9950</v>
      </c>
      <c r="C13" s="25">
        <v>1791</v>
      </c>
      <c r="D13" s="25">
        <v>11741</v>
      </c>
    </row>
    <row r="14" spans="1:4" ht="18.75" x14ac:dyDescent="0.3">
      <c r="A14" s="26" t="s">
        <v>84</v>
      </c>
      <c r="B14" s="25">
        <v>500</v>
      </c>
      <c r="C14" s="25">
        <v>90</v>
      </c>
      <c r="D14" s="25">
        <v>590</v>
      </c>
    </row>
    <row r="15" spans="1:4" ht="18.75" x14ac:dyDescent="0.3">
      <c r="A15" s="27">
        <v>44764</v>
      </c>
      <c r="B15" s="25">
        <v>500</v>
      </c>
      <c r="C15" s="25">
        <v>90</v>
      </c>
      <c r="D15" s="25">
        <v>590</v>
      </c>
    </row>
    <row r="16" spans="1:4" ht="18.75" x14ac:dyDescent="0.3">
      <c r="A16" s="26" t="s">
        <v>78</v>
      </c>
      <c r="B16" s="25">
        <v>338325</v>
      </c>
      <c r="C16" s="25">
        <v>60898.5</v>
      </c>
      <c r="D16" s="25">
        <v>399223.5</v>
      </c>
    </row>
    <row r="17" ht="18.75" x14ac:dyDescent="0.3"/>
    <row r="18" ht="18.75" x14ac:dyDescent="0.3"/>
    <row r="19" ht="18.75" x14ac:dyDescent="0.3"/>
    <row r="20" ht="18.75" x14ac:dyDescent="0.3"/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4"/>
  <sheetViews>
    <sheetView topLeftCell="A16" workbookViewId="0">
      <selection activeCell="A9" sqref="A9"/>
    </sheetView>
  </sheetViews>
  <sheetFormatPr defaultRowHeight="15" x14ac:dyDescent="0.25"/>
  <cols>
    <col min="1" max="1" width="24.28515625" bestFit="1" customWidth="1"/>
    <col min="2" max="2" width="11.5703125" bestFit="1" customWidth="1"/>
    <col min="3" max="3" width="13.7109375" customWidth="1"/>
    <col min="4" max="4" width="17.140625" bestFit="1" customWidth="1"/>
    <col min="5" max="5" width="11.5703125" bestFit="1" customWidth="1"/>
    <col min="6" max="6" width="10" bestFit="1" customWidth="1"/>
    <col min="7" max="7" width="10" customWidth="1"/>
    <col min="8" max="8" width="16.140625" bestFit="1" customWidth="1"/>
    <col min="9" max="9" width="10.140625" bestFit="1" customWidth="1"/>
    <col min="10" max="10" width="15" bestFit="1" customWidth="1"/>
    <col min="11" max="11" width="17.42578125" bestFit="1" customWidth="1"/>
  </cols>
  <sheetData>
    <row r="1" spans="1:11" ht="21" x14ac:dyDescent="0.35">
      <c r="A1" s="29" t="s">
        <v>1</v>
      </c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18.75" x14ac:dyDescent="0.3">
      <c r="A2" s="17" t="s">
        <v>10</v>
      </c>
      <c r="B2" s="17" t="s">
        <v>3</v>
      </c>
      <c r="C2" s="17" t="s">
        <v>4</v>
      </c>
      <c r="D2" s="17" t="s">
        <v>5</v>
      </c>
      <c r="E2" s="17" t="s">
        <v>6</v>
      </c>
      <c r="F2" s="17" t="s">
        <v>7</v>
      </c>
      <c r="G2" s="17" t="s">
        <v>8</v>
      </c>
      <c r="H2" s="17" t="s">
        <v>17</v>
      </c>
      <c r="I2" s="17" t="s">
        <v>13</v>
      </c>
      <c r="J2" s="17" t="s">
        <v>14</v>
      </c>
      <c r="K2" s="17" t="s">
        <v>9</v>
      </c>
    </row>
    <row r="3" spans="1:11" ht="18.75" x14ac:dyDescent="0.3">
      <c r="A3" s="4" t="s">
        <v>70</v>
      </c>
      <c r="B3" s="3">
        <v>44764</v>
      </c>
      <c r="C3" s="1" t="s">
        <v>69</v>
      </c>
      <c r="D3" s="1" t="s">
        <v>71</v>
      </c>
      <c r="E3" s="1">
        <v>550</v>
      </c>
      <c r="F3" s="1">
        <v>2</v>
      </c>
      <c r="G3" s="1">
        <v>1100</v>
      </c>
      <c r="H3" s="2" t="s">
        <v>18</v>
      </c>
      <c r="I3" s="2">
        <v>198</v>
      </c>
      <c r="J3" s="2">
        <v>1298</v>
      </c>
      <c r="K3" s="1" t="s">
        <v>21</v>
      </c>
    </row>
    <row r="4" spans="1:11" ht="18.75" x14ac:dyDescent="0.3">
      <c r="A4" s="4" t="s">
        <v>73</v>
      </c>
      <c r="B4" s="3">
        <v>44764</v>
      </c>
      <c r="C4" s="1" t="s">
        <v>72</v>
      </c>
      <c r="D4" s="1" t="s">
        <v>74</v>
      </c>
      <c r="E4" s="1">
        <v>13500</v>
      </c>
      <c r="F4" s="1">
        <v>1</v>
      </c>
      <c r="G4" s="1">
        <v>13500</v>
      </c>
      <c r="H4" s="2" t="s">
        <v>15</v>
      </c>
      <c r="I4" s="2">
        <v>2430</v>
      </c>
      <c r="J4" s="2">
        <v>15930</v>
      </c>
      <c r="K4" s="1" t="s">
        <v>26</v>
      </c>
    </row>
    <row r="5" spans="1:11" ht="18.75" x14ac:dyDescent="0.3">
      <c r="A5" s="4" t="s">
        <v>75</v>
      </c>
      <c r="B5" s="3">
        <v>44764</v>
      </c>
      <c r="C5" s="1" t="s">
        <v>11</v>
      </c>
      <c r="D5" s="1" t="s">
        <v>76</v>
      </c>
      <c r="E5" s="1">
        <v>35000</v>
      </c>
      <c r="F5" s="1">
        <v>1</v>
      </c>
      <c r="G5" s="1">
        <v>35000</v>
      </c>
      <c r="H5" s="2" t="s">
        <v>18</v>
      </c>
      <c r="I5" s="2">
        <v>6300</v>
      </c>
      <c r="J5" s="2">
        <v>41300</v>
      </c>
      <c r="K5" s="1" t="s">
        <v>21</v>
      </c>
    </row>
    <row r="6" spans="1:11" ht="18.75" x14ac:dyDescent="0.3">
      <c r="A6" s="1" t="s">
        <v>23</v>
      </c>
      <c r="B6" s="3">
        <v>44320</v>
      </c>
      <c r="C6" s="1" t="s">
        <v>22</v>
      </c>
      <c r="D6" s="1" t="s">
        <v>24</v>
      </c>
      <c r="E6" s="1">
        <v>10</v>
      </c>
      <c r="F6" s="1">
        <v>20</v>
      </c>
      <c r="G6" s="1">
        <v>400</v>
      </c>
      <c r="H6" s="1" t="s">
        <v>18</v>
      </c>
      <c r="I6" s="1">
        <f>G6*18%</f>
        <v>72</v>
      </c>
      <c r="J6" s="1">
        <f>G6+I6</f>
        <v>472</v>
      </c>
      <c r="K6" s="1" t="s">
        <v>21</v>
      </c>
    </row>
    <row r="7" spans="1:11" ht="18.75" x14ac:dyDescent="0.3">
      <c r="A7" s="1" t="s">
        <v>32</v>
      </c>
      <c r="B7" s="3">
        <v>44324</v>
      </c>
      <c r="C7" s="1" t="s">
        <v>20</v>
      </c>
      <c r="D7" s="1" t="s">
        <v>39</v>
      </c>
      <c r="E7" s="1">
        <v>20</v>
      </c>
      <c r="F7" s="1">
        <v>50</v>
      </c>
      <c r="G7" s="1">
        <f>E7*F7</f>
        <v>1000</v>
      </c>
      <c r="H7" s="1" t="s">
        <v>18</v>
      </c>
      <c r="I7" s="1">
        <f t="shared" ref="I7:I38" si="0">G7*18%</f>
        <v>180</v>
      </c>
      <c r="J7" s="1">
        <f t="shared" ref="J7:J38" si="1">G7+I7</f>
        <v>1180</v>
      </c>
      <c r="K7" s="1" t="s">
        <v>21</v>
      </c>
    </row>
    <row r="8" spans="1:11" ht="18.75" x14ac:dyDescent="0.3">
      <c r="A8" s="1" t="s">
        <v>28</v>
      </c>
      <c r="B8" s="3">
        <v>44324</v>
      </c>
      <c r="C8" s="1" t="s">
        <v>19</v>
      </c>
      <c r="D8" s="1" t="s">
        <v>24</v>
      </c>
      <c r="E8" s="1">
        <v>10</v>
      </c>
      <c r="F8" s="1">
        <v>20</v>
      </c>
      <c r="G8" s="1">
        <f t="shared" ref="G8:G38" si="2">E8*F8</f>
        <v>200</v>
      </c>
      <c r="H8" s="1" t="s">
        <v>18</v>
      </c>
      <c r="I8" s="1">
        <f t="shared" si="0"/>
        <v>36</v>
      </c>
      <c r="J8" s="1">
        <f t="shared" si="1"/>
        <v>236</v>
      </c>
      <c r="K8" s="1" t="s">
        <v>21</v>
      </c>
    </row>
    <row r="9" spans="1:11" ht="18.75" x14ac:dyDescent="0.3">
      <c r="A9" s="1" t="s">
        <v>29</v>
      </c>
      <c r="B9" s="3">
        <v>44323</v>
      </c>
      <c r="C9" s="1" t="s">
        <v>19</v>
      </c>
      <c r="D9" s="1" t="s">
        <v>24</v>
      </c>
      <c r="E9" s="1">
        <v>10</v>
      </c>
      <c r="F9" s="1">
        <v>25</v>
      </c>
      <c r="G9" s="1">
        <f t="shared" si="2"/>
        <v>250</v>
      </c>
      <c r="H9" s="1" t="s">
        <v>15</v>
      </c>
      <c r="I9" s="1">
        <f t="shared" si="0"/>
        <v>45</v>
      </c>
      <c r="J9" s="1">
        <f t="shared" si="1"/>
        <v>295</v>
      </c>
      <c r="K9" s="1" t="s">
        <v>21</v>
      </c>
    </row>
    <row r="10" spans="1:11" ht="18.75" x14ac:dyDescent="0.3">
      <c r="A10" s="1" t="s">
        <v>30</v>
      </c>
      <c r="B10" s="3">
        <v>44324</v>
      </c>
      <c r="C10" s="1" t="s">
        <v>19</v>
      </c>
      <c r="D10" s="1" t="s">
        <v>24</v>
      </c>
      <c r="E10" s="1">
        <v>10</v>
      </c>
      <c r="F10" s="1">
        <v>30</v>
      </c>
      <c r="G10" s="1">
        <f t="shared" si="2"/>
        <v>300</v>
      </c>
      <c r="H10" s="1" t="s">
        <v>18</v>
      </c>
      <c r="I10" s="1">
        <f t="shared" si="0"/>
        <v>54</v>
      </c>
      <c r="J10" s="1">
        <f t="shared" si="1"/>
        <v>354</v>
      </c>
      <c r="K10" s="1" t="s">
        <v>21</v>
      </c>
    </row>
    <row r="11" spans="1:11" ht="18.75" x14ac:dyDescent="0.3">
      <c r="A11" s="1" t="s">
        <v>33</v>
      </c>
      <c r="B11" s="3">
        <v>44325</v>
      </c>
      <c r="C11" s="1" t="s">
        <v>27</v>
      </c>
      <c r="D11" s="1" t="s">
        <v>40</v>
      </c>
      <c r="E11" s="1">
        <v>500</v>
      </c>
      <c r="F11" s="1">
        <v>2</v>
      </c>
      <c r="G11" s="1">
        <f t="shared" si="2"/>
        <v>1000</v>
      </c>
      <c r="H11" s="1" t="s">
        <v>15</v>
      </c>
      <c r="I11" s="1">
        <f t="shared" si="0"/>
        <v>180</v>
      </c>
      <c r="J11" s="1">
        <f t="shared" si="1"/>
        <v>1180</v>
      </c>
      <c r="K11" s="1" t="s">
        <v>21</v>
      </c>
    </row>
    <row r="12" spans="1:11" ht="18.75" x14ac:dyDescent="0.3">
      <c r="A12" s="1" t="s">
        <v>34</v>
      </c>
      <c r="B12" s="3">
        <v>44326</v>
      </c>
      <c r="C12" s="1" t="s">
        <v>36</v>
      </c>
      <c r="D12" s="1" t="s">
        <v>41</v>
      </c>
      <c r="E12" s="1">
        <v>30000</v>
      </c>
      <c r="F12" s="1">
        <v>1</v>
      </c>
      <c r="G12" s="1">
        <f t="shared" si="2"/>
        <v>30000</v>
      </c>
      <c r="H12" s="1" t="s">
        <v>15</v>
      </c>
      <c r="I12" s="1">
        <f t="shared" si="0"/>
        <v>5400</v>
      </c>
      <c r="J12" s="1">
        <f t="shared" si="1"/>
        <v>35400</v>
      </c>
      <c r="K12" s="1" t="s">
        <v>21</v>
      </c>
    </row>
    <row r="13" spans="1:11" ht="18.75" x14ac:dyDescent="0.3">
      <c r="A13" s="1" t="s">
        <v>35</v>
      </c>
      <c r="B13" s="3">
        <v>44327</v>
      </c>
      <c r="C13" s="1" t="s">
        <v>37</v>
      </c>
      <c r="D13" s="1" t="s">
        <v>42</v>
      </c>
      <c r="E13" s="1">
        <v>15000</v>
      </c>
      <c r="F13" s="1">
        <v>5</v>
      </c>
      <c r="G13" s="1">
        <f t="shared" si="2"/>
        <v>75000</v>
      </c>
      <c r="H13" s="1" t="s">
        <v>15</v>
      </c>
      <c r="I13" s="1">
        <f t="shared" si="0"/>
        <v>13500</v>
      </c>
      <c r="J13" s="1">
        <f t="shared" si="1"/>
        <v>88500</v>
      </c>
      <c r="K13" s="1" t="s">
        <v>21</v>
      </c>
    </row>
    <row r="14" spans="1:11" ht="18.75" x14ac:dyDescent="0.3">
      <c r="A14" s="1" t="s">
        <v>31</v>
      </c>
      <c r="B14" s="3">
        <v>44327</v>
      </c>
      <c r="C14" s="1" t="s">
        <v>19</v>
      </c>
      <c r="D14" s="1" t="s">
        <v>24</v>
      </c>
      <c r="E14" s="1">
        <v>10</v>
      </c>
      <c r="F14" s="1">
        <v>15</v>
      </c>
      <c r="G14" s="1">
        <f t="shared" si="2"/>
        <v>150</v>
      </c>
      <c r="H14" s="1" t="s">
        <v>18</v>
      </c>
      <c r="I14" s="1">
        <f t="shared" si="0"/>
        <v>27</v>
      </c>
      <c r="J14" s="1">
        <f t="shared" si="1"/>
        <v>177</v>
      </c>
      <c r="K14" s="1" t="s">
        <v>21</v>
      </c>
    </row>
    <row r="15" spans="1:11" ht="18.75" x14ac:dyDescent="0.3">
      <c r="A15" s="1" t="s">
        <v>44</v>
      </c>
      <c r="B15" s="3">
        <v>44327</v>
      </c>
      <c r="C15" s="1" t="s">
        <v>38</v>
      </c>
      <c r="D15" s="1" t="s">
        <v>43</v>
      </c>
      <c r="E15" s="1">
        <v>4100</v>
      </c>
      <c r="F15" s="1">
        <v>2</v>
      </c>
      <c r="G15" s="1">
        <f t="shared" si="2"/>
        <v>8200</v>
      </c>
      <c r="H15" s="1" t="s">
        <v>18</v>
      </c>
      <c r="I15" s="1">
        <f t="shared" si="0"/>
        <v>1476</v>
      </c>
      <c r="J15" s="1">
        <f t="shared" si="1"/>
        <v>9676</v>
      </c>
      <c r="K15" s="1" t="s">
        <v>26</v>
      </c>
    </row>
    <row r="16" spans="1:11" ht="18.75" x14ac:dyDescent="0.3">
      <c r="A16" s="1" t="s">
        <v>45</v>
      </c>
      <c r="B16" s="3">
        <v>44327</v>
      </c>
      <c r="C16" s="1" t="s">
        <v>20</v>
      </c>
      <c r="D16" s="1" t="s">
        <v>39</v>
      </c>
      <c r="E16" s="1">
        <v>15</v>
      </c>
      <c r="F16" s="1">
        <v>35</v>
      </c>
      <c r="G16" s="1">
        <f t="shared" si="2"/>
        <v>525</v>
      </c>
      <c r="H16" s="1" t="s">
        <v>18</v>
      </c>
      <c r="I16" s="1">
        <f t="shared" si="0"/>
        <v>94.5</v>
      </c>
      <c r="J16" s="1">
        <f t="shared" si="1"/>
        <v>619.5</v>
      </c>
      <c r="K16" s="1" t="s">
        <v>26</v>
      </c>
    </row>
    <row r="17" spans="1:11" ht="18.75" x14ac:dyDescent="0.3">
      <c r="A17" s="1" t="s">
        <v>46</v>
      </c>
      <c r="B17" s="3">
        <v>44329</v>
      </c>
      <c r="C17" s="1" t="s">
        <v>27</v>
      </c>
      <c r="D17" s="1" t="s">
        <v>40</v>
      </c>
      <c r="E17" s="1">
        <v>450</v>
      </c>
      <c r="F17" s="1">
        <v>5</v>
      </c>
      <c r="G17" s="1">
        <f t="shared" si="2"/>
        <v>2250</v>
      </c>
      <c r="H17" s="1" t="s">
        <v>15</v>
      </c>
      <c r="I17" s="1">
        <f t="shared" si="0"/>
        <v>405</v>
      </c>
      <c r="J17" s="1">
        <f t="shared" si="1"/>
        <v>2655</v>
      </c>
      <c r="K17" s="1" t="s">
        <v>26</v>
      </c>
    </row>
    <row r="18" spans="1:11" ht="18.75" x14ac:dyDescent="0.3">
      <c r="A18" s="1" t="s">
        <v>25</v>
      </c>
      <c r="B18" s="3">
        <v>44332</v>
      </c>
      <c r="C18" s="1" t="s">
        <v>19</v>
      </c>
      <c r="D18" s="1" t="s">
        <v>24</v>
      </c>
      <c r="E18" s="1">
        <v>10</v>
      </c>
      <c r="F18" s="1">
        <v>30</v>
      </c>
      <c r="G18" s="1">
        <f t="shared" si="2"/>
        <v>300</v>
      </c>
      <c r="H18" s="1" t="s">
        <v>18</v>
      </c>
      <c r="I18" s="1">
        <f t="shared" si="0"/>
        <v>54</v>
      </c>
      <c r="J18" s="1">
        <f t="shared" si="1"/>
        <v>354</v>
      </c>
      <c r="K18" s="1" t="s">
        <v>26</v>
      </c>
    </row>
    <row r="19" spans="1:11" ht="18.75" x14ac:dyDescent="0.3">
      <c r="A19" s="1" t="s">
        <v>47</v>
      </c>
      <c r="B19" s="3">
        <v>44333</v>
      </c>
      <c r="C19" s="1" t="s">
        <v>20</v>
      </c>
      <c r="D19" s="1" t="s">
        <v>39</v>
      </c>
      <c r="E19" s="1">
        <v>15</v>
      </c>
      <c r="F19" s="1">
        <v>35</v>
      </c>
      <c r="G19" s="1">
        <f t="shared" si="2"/>
        <v>525</v>
      </c>
      <c r="H19" s="1" t="s">
        <v>15</v>
      </c>
      <c r="I19" s="1">
        <f t="shared" si="0"/>
        <v>94.5</v>
      </c>
      <c r="J19" s="1">
        <f t="shared" si="1"/>
        <v>619.5</v>
      </c>
      <c r="K19" s="1" t="s">
        <v>26</v>
      </c>
    </row>
    <row r="20" spans="1:11" ht="18.75" x14ac:dyDescent="0.3">
      <c r="A20" s="1" t="s">
        <v>48</v>
      </c>
      <c r="B20" s="3">
        <v>44333</v>
      </c>
      <c r="C20" s="1" t="s">
        <v>19</v>
      </c>
      <c r="D20" s="1" t="s">
        <v>24</v>
      </c>
      <c r="E20" s="1">
        <v>10</v>
      </c>
      <c r="F20" s="1">
        <v>50</v>
      </c>
      <c r="G20" s="1">
        <f t="shared" si="2"/>
        <v>500</v>
      </c>
      <c r="H20" s="1" t="s">
        <v>18</v>
      </c>
      <c r="I20" s="1">
        <f t="shared" si="0"/>
        <v>90</v>
      </c>
      <c r="J20" s="1">
        <f t="shared" si="1"/>
        <v>590</v>
      </c>
      <c r="K20" s="1" t="s">
        <v>26</v>
      </c>
    </row>
    <row r="21" spans="1:11" ht="18.75" x14ac:dyDescent="0.3">
      <c r="A21" s="1" t="s">
        <v>49</v>
      </c>
      <c r="B21" s="3">
        <v>44333</v>
      </c>
      <c r="C21" s="1" t="s">
        <v>19</v>
      </c>
      <c r="D21" s="1" t="s">
        <v>24</v>
      </c>
      <c r="E21" s="1">
        <v>10</v>
      </c>
      <c r="F21" s="1">
        <v>20</v>
      </c>
      <c r="G21" s="1">
        <f t="shared" si="2"/>
        <v>200</v>
      </c>
      <c r="H21" s="1" t="s">
        <v>15</v>
      </c>
      <c r="I21" s="1">
        <f t="shared" si="0"/>
        <v>36</v>
      </c>
      <c r="J21" s="1">
        <f t="shared" si="1"/>
        <v>236</v>
      </c>
      <c r="K21" s="1" t="s">
        <v>26</v>
      </c>
    </row>
    <row r="22" spans="1:11" ht="18.75" x14ac:dyDescent="0.3">
      <c r="A22" s="1" t="s">
        <v>50</v>
      </c>
      <c r="B22" s="3">
        <v>44333</v>
      </c>
      <c r="C22" s="1" t="s">
        <v>19</v>
      </c>
      <c r="D22" s="1" t="s">
        <v>24</v>
      </c>
      <c r="E22" s="1">
        <v>10</v>
      </c>
      <c r="F22" s="1">
        <v>50</v>
      </c>
      <c r="G22" s="1">
        <f t="shared" si="2"/>
        <v>500</v>
      </c>
      <c r="H22" s="1" t="s">
        <v>15</v>
      </c>
      <c r="I22" s="1">
        <f t="shared" si="0"/>
        <v>90</v>
      </c>
      <c r="J22" s="1">
        <f t="shared" si="1"/>
        <v>590</v>
      </c>
      <c r="K22" s="1" t="s">
        <v>26</v>
      </c>
    </row>
    <row r="23" spans="1:11" ht="18.75" x14ac:dyDescent="0.3">
      <c r="A23" s="1" t="s">
        <v>51</v>
      </c>
      <c r="B23" s="3">
        <v>44333</v>
      </c>
      <c r="C23" s="1" t="s">
        <v>27</v>
      </c>
      <c r="D23" s="1" t="s">
        <v>40</v>
      </c>
      <c r="E23" s="1">
        <v>500</v>
      </c>
      <c r="F23" s="1">
        <v>4</v>
      </c>
      <c r="G23" s="1">
        <f t="shared" si="2"/>
        <v>2000</v>
      </c>
      <c r="H23" s="1" t="s">
        <v>15</v>
      </c>
      <c r="I23" s="1">
        <f t="shared" si="0"/>
        <v>360</v>
      </c>
      <c r="J23" s="1">
        <f t="shared" si="1"/>
        <v>2360</v>
      </c>
      <c r="K23" s="1" t="s">
        <v>26</v>
      </c>
    </row>
    <row r="24" spans="1:11" ht="18.75" x14ac:dyDescent="0.3">
      <c r="A24" s="1" t="s">
        <v>52</v>
      </c>
      <c r="B24" s="3">
        <v>44333</v>
      </c>
      <c r="C24" s="1" t="s">
        <v>36</v>
      </c>
      <c r="D24" s="1" t="s">
        <v>41</v>
      </c>
      <c r="E24" s="1">
        <v>40100</v>
      </c>
      <c r="F24" s="1">
        <v>1</v>
      </c>
      <c r="G24" s="1">
        <f t="shared" si="2"/>
        <v>40100</v>
      </c>
      <c r="H24" s="1" t="s">
        <v>18</v>
      </c>
      <c r="I24" s="1">
        <f t="shared" si="0"/>
        <v>7218</v>
      </c>
      <c r="J24" s="1">
        <f t="shared" si="1"/>
        <v>47318</v>
      </c>
      <c r="K24" s="1" t="s">
        <v>2</v>
      </c>
    </row>
    <row r="25" spans="1:11" ht="18.75" x14ac:dyDescent="0.3">
      <c r="A25" s="1" t="s">
        <v>53</v>
      </c>
      <c r="B25" s="3">
        <v>44333</v>
      </c>
      <c r="C25" s="1" t="s">
        <v>37</v>
      </c>
      <c r="D25" s="1" t="s">
        <v>42</v>
      </c>
      <c r="E25" s="1">
        <v>12500</v>
      </c>
      <c r="F25" s="1">
        <v>2</v>
      </c>
      <c r="G25" s="1">
        <f t="shared" si="2"/>
        <v>25000</v>
      </c>
      <c r="H25" s="1" t="s">
        <v>18</v>
      </c>
      <c r="I25" s="1">
        <f t="shared" si="0"/>
        <v>4500</v>
      </c>
      <c r="J25" s="1">
        <f t="shared" si="1"/>
        <v>29500</v>
      </c>
      <c r="K25" s="1" t="s">
        <v>2</v>
      </c>
    </row>
    <row r="26" spans="1:11" ht="18.75" x14ac:dyDescent="0.3">
      <c r="A26" s="1" t="s">
        <v>54</v>
      </c>
      <c r="B26" s="3">
        <v>44333</v>
      </c>
      <c r="C26" s="1" t="s">
        <v>19</v>
      </c>
      <c r="D26" s="1" t="s">
        <v>24</v>
      </c>
      <c r="E26" s="1">
        <v>10</v>
      </c>
      <c r="F26" s="1">
        <v>20</v>
      </c>
      <c r="G26" s="1">
        <f t="shared" si="2"/>
        <v>200</v>
      </c>
      <c r="H26" s="1" t="s">
        <v>18</v>
      </c>
      <c r="I26" s="1">
        <f t="shared" si="0"/>
        <v>36</v>
      </c>
      <c r="J26" s="1">
        <f t="shared" si="1"/>
        <v>236</v>
      </c>
      <c r="K26" s="1" t="s">
        <v>2</v>
      </c>
    </row>
    <row r="27" spans="1:11" ht="18.75" x14ac:dyDescent="0.3">
      <c r="A27" s="1" t="s">
        <v>55</v>
      </c>
      <c r="B27" s="3">
        <v>44336</v>
      </c>
      <c r="C27" s="1" t="s">
        <v>38</v>
      </c>
      <c r="D27" s="1" t="s">
        <v>43</v>
      </c>
      <c r="E27" s="1">
        <v>4000</v>
      </c>
      <c r="F27" s="1">
        <v>3</v>
      </c>
      <c r="G27" s="1">
        <f t="shared" si="2"/>
        <v>12000</v>
      </c>
      <c r="H27" s="1" t="s">
        <v>15</v>
      </c>
      <c r="I27" s="1">
        <f t="shared" si="0"/>
        <v>2160</v>
      </c>
      <c r="J27" s="1">
        <f t="shared" si="1"/>
        <v>14160</v>
      </c>
      <c r="K27" s="1" t="s">
        <v>2</v>
      </c>
    </row>
    <row r="28" spans="1:11" ht="18.75" x14ac:dyDescent="0.3">
      <c r="A28" s="1" t="s">
        <v>56</v>
      </c>
      <c r="B28" s="3">
        <v>44336</v>
      </c>
      <c r="C28" s="1" t="s">
        <v>20</v>
      </c>
      <c r="D28" s="1" t="s">
        <v>39</v>
      </c>
      <c r="E28" s="1">
        <v>15</v>
      </c>
      <c r="F28" s="1">
        <v>25</v>
      </c>
      <c r="G28" s="1">
        <f t="shared" si="2"/>
        <v>375</v>
      </c>
      <c r="H28" s="1" t="s">
        <v>18</v>
      </c>
      <c r="I28" s="1">
        <f t="shared" si="0"/>
        <v>67.5</v>
      </c>
      <c r="J28" s="1">
        <f t="shared" si="1"/>
        <v>442.5</v>
      </c>
      <c r="K28" s="1" t="s">
        <v>2</v>
      </c>
    </row>
    <row r="29" spans="1:11" ht="18.75" x14ac:dyDescent="0.3">
      <c r="A29" s="1" t="s">
        <v>57</v>
      </c>
      <c r="B29" s="3">
        <v>44336</v>
      </c>
      <c r="C29" s="1" t="s">
        <v>27</v>
      </c>
      <c r="D29" s="1" t="s">
        <v>40</v>
      </c>
      <c r="E29" s="1">
        <v>550</v>
      </c>
      <c r="F29" s="1">
        <v>3</v>
      </c>
      <c r="G29" s="1">
        <f t="shared" si="2"/>
        <v>1650</v>
      </c>
      <c r="H29" s="1" t="s">
        <v>15</v>
      </c>
      <c r="I29" s="1">
        <f t="shared" si="0"/>
        <v>297</v>
      </c>
      <c r="J29" s="1">
        <f t="shared" si="1"/>
        <v>1947</v>
      </c>
      <c r="K29" s="1" t="s">
        <v>2</v>
      </c>
    </row>
    <row r="30" spans="1:11" ht="18.75" x14ac:dyDescent="0.3">
      <c r="A30" s="1" t="s">
        <v>58</v>
      </c>
      <c r="B30" s="3">
        <v>44337</v>
      </c>
      <c r="C30" s="1" t="s">
        <v>19</v>
      </c>
      <c r="D30" s="1" t="s">
        <v>24</v>
      </c>
      <c r="E30" s="1">
        <v>10</v>
      </c>
      <c r="F30" s="1">
        <v>60</v>
      </c>
      <c r="G30" s="1">
        <f t="shared" si="2"/>
        <v>600</v>
      </c>
      <c r="H30" s="1" t="s">
        <v>15</v>
      </c>
      <c r="I30" s="1">
        <f t="shared" si="0"/>
        <v>108</v>
      </c>
      <c r="J30" s="1">
        <f t="shared" si="1"/>
        <v>708</v>
      </c>
      <c r="K30" s="1" t="s">
        <v>67</v>
      </c>
    </row>
    <row r="31" spans="1:11" ht="18.75" x14ac:dyDescent="0.3">
      <c r="A31" s="1" t="s">
        <v>59</v>
      </c>
      <c r="B31" s="3">
        <v>44337</v>
      </c>
      <c r="C31" s="1" t="s">
        <v>20</v>
      </c>
      <c r="D31" s="1" t="s">
        <v>39</v>
      </c>
      <c r="E31" s="1">
        <v>15</v>
      </c>
      <c r="F31" s="1">
        <v>30</v>
      </c>
      <c r="G31" s="1">
        <f t="shared" si="2"/>
        <v>450</v>
      </c>
      <c r="H31" s="1" t="s">
        <v>18</v>
      </c>
      <c r="I31" s="1">
        <f t="shared" si="0"/>
        <v>81</v>
      </c>
      <c r="J31" s="1">
        <f t="shared" si="1"/>
        <v>531</v>
      </c>
      <c r="K31" s="1" t="s">
        <v>67</v>
      </c>
    </row>
    <row r="32" spans="1:11" ht="18.75" x14ac:dyDescent="0.3">
      <c r="A32" s="1" t="s">
        <v>60</v>
      </c>
      <c r="B32" s="3">
        <v>44337</v>
      </c>
      <c r="C32" s="1" t="s">
        <v>19</v>
      </c>
      <c r="D32" s="1" t="s">
        <v>24</v>
      </c>
      <c r="E32" s="1">
        <v>10</v>
      </c>
      <c r="F32" s="1">
        <v>20</v>
      </c>
      <c r="G32" s="1">
        <f t="shared" si="2"/>
        <v>200</v>
      </c>
      <c r="H32" s="1" t="s">
        <v>15</v>
      </c>
      <c r="I32" s="1">
        <f t="shared" si="0"/>
        <v>36</v>
      </c>
      <c r="J32" s="1">
        <f t="shared" si="1"/>
        <v>236</v>
      </c>
      <c r="K32" s="1" t="s">
        <v>67</v>
      </c>
    </row>
    <row r="33" spans="1:11" ht="18.75" x14ac:dyDescent="0.3">
      <c r="A33" s="1" t="s">
        <v>61</v>
      </c>
      <c r="B33" s="3">
        <v>44337</v>
      </c>
      <c r="C33" s="1" t="s">
        <v>19</v>
      </c>
      <c r="D33" s="1" t="s">
        <v>24</v>
      </c>
      <c r="E33" s="1">
        <v>10</v>
      </c>
      <c r="F33" s="1">
        <v>10</v>
      </c>
      <c r="G33" s="1">
        <f t="shared" si="2"/>
        <v>100</v>
      </c>
      <c r="H33" s="1" t="s">
        <v>18</v>
      </c>
      <c r="I33" s="1">
        <f t="shared" si="0"/>
        <v>18</v>
      </c>
      <c r="J33" s="1">
        <f t="shared" si="1"/>
        <v>118</v>
      </c>
      <c r="K33" s="1" t="s">
        <v>2</v>
      </c>
    </row>
    <row r="34" spans="1:11" ht="18.75" x14ac:dyDescent="0.3">
      <c r="A34" s="1" t="s">
        <v>62</v>
      </c>
      <c r="B34" s="3">
        <v>44337</v>
      </c>
      <c r="C34" s="1" t="s">
        <v>19</v>
      </c>
      <c r="D34" s="1" t="s">
        <v>24</v>
      </c>
      <c r="E34" s="1">
        <v>10</v>
      </c>
      <c r="F34" s="1">
        <v>40</v>
      </c>
      <c r="G34" s="1">
        <f t="shared" si="2"/>
        <v>400</v>
      </c>
      <c r="H34" s="1" t="s">
        <v>15</v>
      </c>
      <c r="I34" s="1">
        <f t="shared" si="0"/>
        <v>72</v>
      </c>
      <c r="J34" s="1">
        <f t="shared" si="1"/>
        <v>472</v>
      </c>
      <c r="K34" s="1" t="s">
        <v>67</v>
      </c>
    </row>
    <row r="35" spans="1:11" ht="18.75" x14ac:dyDescent="0.3">
      <c r="A35" s="1" t="s">
        <v>63</v>
      </c>
      <c r="B35" s="3">
        <v>44339</v>
      </c>
      <c r="C35" s="1" t="s">
        <v>27</v>
      </c>
      <c r="D35" s="1" t="s">
        <v>40</v>
      </c>
      <c r="E35" s="1">
        <v>650</v>
      </c>
      <c r="F35" s="1">
        <v>3</v>
      </c>
      <c r="G35" s="1">
        <f t="shared" si="2"/>
        <v>1950</v>
      </c>
      <c r="H35" s="1" t="s">
        <v>18</v>
      </c>
      <c r="I35" s="1">
        <f t="shared" si="0"/>
        <v>351</v>
      </c>
      <c r="J35" s="1">
        <f t="shared" si="1"/>
        <v>2301</v>
      </c>
      <c r="K35" s="1" t="s">
        <v>2</v>
      </c>
    </row>
    <row r="36" spans="1:11" ht="18.75" x14ac:dyDescent="0.3">
      <c r="A36" s="1" t="s">
        <v>64</v>
      </c>
      <c r="B36" s="3">
        <v>44339</v>
      </c>
      <c r="C36" s="1" t="s">
        <v>36</v>
      </c>
      <c r="D36" s="1" t="s">
        <v>41</v>
      </c>
      <c r="E36" s="1">
        <v>29000</v>
      </c>
      <c r="F36" s="1">
        <v>1</v>
      </c>
      <c r="G36" s="1">
        <f t="shared" si="2"/>
        <v>29000</v>
      </c>
      <c r="H36" s="1" t="s">
        <v>18</v>
      </c>
      <c r="I36" s="1">
        <f t="shared" si="0"/>
        <v>5220</v>
      </c>
      <c r="J36" s="1">
        <f t="shared" si="1"/>
        <v>34220</v>
      </c>
      <c r="K36" s="1" t="s">
        <v>2</v>
      </c>
    </row>
    <row r="37" spans="1:11" ht="18.75" x14ac:dyDescent="0.3">
      <c r="A37" s="1" t="s">
        <v>65</v>
      </c>
      <c r="B37" s="3">
        <v>44339</v>
      </c>
      <c r="C37" s="1" t="s">
        <v>37</v>
      </c>
      <c r="D37" s="1" t="s">
        <v>42</v>
      </c>
      <c r="E37" s="1">
        <v>21000</v>
      </c>
      <c r="F37" s="1">
        <v>2</v>
      </c>
      <c r="G37" s="1">
        <f t="shared" si="2"/>
        <v>42000</v>
      </c>
      <c r="H37" s="1" t="s">
        <v>18</v>
      </c>
      <c r="I37" s="1">
        <f t="shared" si="0"/>
        <v>7560</v>
      </c>
      <c r="J37" s="1">
        <f t="shared" si="1"/>
        <v>49560</v>
      </c>
      <c r="K37" s="1" t="s">
        <v>2</v>
      </c>
    </row>
    <row r="38" spans="1:11" ht="18.75" x14ac:dyDescent="0.3">
      <c r="A38" s="1" t="s">
        <v>66</v>
      </c>
      <c r="B38" s="3">
        <v>44340</v>
      </c>
      <c r="C38" s="1" t="s">
        <v>19</v>
      </c>
      <c r="D38" s="1" t="s">
        <v>24</v>
      </c>
      <c r="E38" s="1">
        <v>10</v>
      </c>
      <c r="F38" s="1">
        <v>40</v>
      </c>
      <c r="G38" s="1">
        <f t="shared" si="2"/>
        <v>400</v>
      </c>
      <c r="H38" s="1" t="s">
        <v>15</v>
      </c>
      <c r="I38" s="1">
        <f t="shared" si="0"/>
        <v>72</v>
      </c>
      <c r="J38" s="1">
        <f t="shared" si="1"/>
        <v>472</v>
      </c>
      <c r="K38" s="1" t="s">
        <v>67</v>
      </c>
    </row>
    <row r="39" spans="1:11" ht="18.75" x14ac:dyDescent="0.3">
      <c r="A39" s="2" t="s">
        <v>82</v>
      </c>
      <c r="B39" s="3">
        <v>44764</v>
      </c>
      <c r="C39" s="1" t="s">
        <v>72</v>
      </c>
      <c r="D39" s="1" t="s">
        <v>83</v>
      </c>
      <c r="E39" s="1">
        <v>3500</v>
      </c>
      <c r="F39" s="1">
        <v>3</v>
      </c>
      <c r="G39" s="1">
        <v>10500</v>
      </c>
      <c r="H39" s="1" t="s">
        <v>15</v>
      </c>
      <c r="I39" s="1">
        <v>1890</v>
      </c>
      <c r="J39" s="1">
        <v>12390</v>
      </c>
      <c r="K39" s="1" t="s">
        <v>67</v>
      </c>
    </row>
    <row r="40" spans="1:11" ht="18.75" x14ac:dyDescent="0.3">
      <c r="A40" s="2" t="s">
        <v>85</v>
      </c>
      <c r="B40" s="3">
        <v>44764</v>
      </c>
      <c r="C40" s="1" t="s">
        <v>84</v>
      </c>
      <c r="D40" s="1" t="s">
        <v>86</v>
      </c>
      <c r="E40" s="1">
        <v>250</v>
      </c>
      <c r="F40" s="1">
        <v>2</v>
      </c>
      <c r="G40" s="1">
        <v>500</v>
      </c>
      <c r="H40" s="1" t="s">
        <v>18</v>
      </c>
      <c r="I40" s="1">
        <v>90</v>
      </c>
      <c r="J40" s="1">
        <v>590</v>
      </c>
      <c r="K40" s="1" t="s">
        <v>21</v>
      </c>
    </row>
    <row r="41" spans="1:11" ht="18.75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ht="18.75" x14ac:dyDescent="0.3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ht="18.75" x14ac:dyDescent="0.3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ht="18.75" x14ac:dyDescent="0.3">
      <c r="B44" s="1"/>
      <c r="C44" s="1"/>
      <c r="D44" s="1"/>
      <c r="E44" s="1"/>
      <c r="F44" s="1"/>
      <c r="G44" s="1"/>
      <c r="H44" s="1"/>
      <c r="I44" s="1"/>
      <c r="J44" s="1"/>
      <c r="K44" s="1"/>
    </row>
  </sheetData>
  <mergeCells count="1">
    <mergeCell ref="A1:K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Form</vt:lpstr>
      <vt:lpstr>Date wise</vt:lpstr>
      <vt:lpstr>item wise</vt:lpstr>
      <vt:lpstr>salesman</vt:lpstr>
      <vt:lpstr>Total</vt:lpstr>
      <vt:lpstr>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Future</dc:creator>
  <cp:lastModifiedBy>Golu</cp:lastModifiedBy>
  <cp:lastPrinted>2022-06-25T23:29:38Z</cp:lastPrinted>
  <dcterms:created xsi:type="dcterms:W3CDTF">2022-06-25T19:10:23Z</dcterms:created>
  <dcterms:modified xsi:type="dcterms:W3CDTF">2022-07-24T03:48:28Z</dcterms:modified>
</cp:coreProperties>
</file>